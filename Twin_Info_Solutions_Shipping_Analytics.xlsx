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LS\job\project\"/>
    </mc:Choice>
  </mc:AlternateContent>
  <xr:revisionPtr revIDLastSave="0" documentId="8_{E927866B-436F-4324-A0CA-DAE69D06F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ments" sheetId="1" r:id="rId1"/>
    <sheet name="Customers" sheetId="2" r:id="rId2"/>
    <sheet name="Routes" sheetId="3" r:id="rId3"/>
    <sheet name="Project_Guide" sheetId="4" r:id="rId4"/>
  </sheets>
  <definedNames>
    <definedName name="_xlnm._FilterDatabase" localSheetId="1" hidden="1">Customers!$A$1:$B$9</definedName>
    <definedName name="_xlnm._FilterDatabase" localSheetId="3" hidden="1">Project_Guide!$A$1:$B$12</definedName>
    <definedName name="_xlnm._FilterDatabase" localSheetId="2" hidden="1">Routes!$A$1:$F$11</definedName>
    <definedName name="_xlnm._FilterDatabase" localSheetId="0" hidden="1">Shipments!$A$1:$O$301</definedName>
  </definedName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J2" i="1"/>
  <c r="I2" i="1"/>
  <c r="R81" i="1"/>
  <c r="AF160" i="1"/>
  <c r="AE153" i="1"/>
  <c r="Q86" i="1" l="1"/>
  <c r="R83" i="1"/>
</calcChain>
</file>

<file path=xl/sharedStrings.xml><?xml version="1.0" encoding="utf-8"?>
<sst xmlns="http://schemas.openxmlformats.org/spreadsheetml/2006/main" count="1903" uniqueCount="388">
  <si>
    <t>ShipmentID</t>
  </si>
  <si>
    <t>BookingDate</t>
  </si>
  <si>
    <t>CustomerID</t>
  </si>
  <si>
    <t>RouteID</t>
  </si>
  <si>
    <t>ShippingMode</t>
  </si>
  <si>
    <t>ShipmentType</t>
  </si>
  <si>
    <t>CargoWeightKG</t>
  </si>
  <si>
    <t>PlannedTransitDays</t>
  </si>
  <si>
    <t>PlannedDeliveryDate</t>
  </si>
  <si>
    <t>ActualDeliveryDate</t>
  </si>
  <si>
    <t>ShipmentStatus</t>
  </si>
  <si>
    <t>EstimatedFreightCostUSD</t>
  </si>
  <si>
    <t>ActualFreightCostUSD</t>
  </si>
  <si>
    <t>RevenueUSD</t>
  </si>
  <si>
    <t>DelayDays</t>
  </si>
  <si>
    <t>SHP0001</t>
  </si>
  <si>
    <t>C004</t>
  </si>
  <si>
    <t>R007</t>
  </si>
  <si>
    <t>Air</t>
  </si>
  <si>
    <t>Import</t>
  </si>
  <si>
    <t>Delivered</t>
  </si>
  <si>
    <t>SHP0002</t>
  </si>
  <si>
    <t>C006</t>
  </si>
  <si>
    <t>R003</t>
  </si>
  <si>
    <t>Sea</t>
  </si>
  <si>
    <t>Export</t>
  </si>
  <si>
    <t>SHP0003</t>
  </si>
  <si>
    <t>C001</t>
  </si>
  <si>
    <t>R009</t>
  </si>
  <si>
    <t>Road</t>
  </si>
  <si>
    <t>SHP0004</t>
  </si>
  <si>
    <t>C008</t>
  </si>
  <si>
    <t>R004</t>
  </si>
  <si>
    <t>SHP0005</t>
  </si>
  <si>
    <t>C002</t>
  </si>
  <si>
    <t>SHP0006</t>
  </si>
  <si>
    <t>SHP0007</t>
  </si>
  <si>
    <t>SHP0008</t>
  </si>
  <si>
    <t>C005</t>
  </si>
  <si>
    <t>SHP0009</t>
  </si>
  <si>
    <t>R001</t>
  </si>
  <si>
    <t>SHP0010</t>
  </si>
  <si>
    <t>R002</t>
  </si>
  <si>
    <t>SHP0011</t>
  </si>
  <si>
    <t>C007</t>
  </si>
  <si>
    <t>R005</t>
  </si>
  <si>
    <t>SHP0012</t>
  </si>
  <si>
    <t>SHP0013</t>
  </si>
  <si>
    <t>SHP0014</t>
  </si>
  <si>
    <t>SHP0015</t>
  </si>
  <si>
    <t>C003</t>
  </si>
  <si>
    <t>SHP0016</t>
  </si>
  <si>
    <t>R008</t>
  </si>
  <si>
    <t>SHP0017</t>
  </si>
  <si>
    <t>SHP0018</t>
  </si>
  <si>
    <t>SHP0019</t>
  </si>
  <si>
    <t>SHP0020</t>
  </si>
  <si>
    <t>SHP0021</t>
  </si>
  <si>
    <t>SHP0022</t>
  </si>
  <si>
    <t>SHP0023</t>
  </si>
  <si>
    <t>SHP0024</t>
  </si>
  <si>
    <t>SHP0025</t>
  </si>
  <si>
    <t>SHP0026</t>
  </si>
  <si>
    <t>SHP0027</t>
  </si>
  <si>
    <t>R006</t>
  </si>
  <si>
    <t>SHP0028</t>
  </si>
  <si>
    <t>SHP0029</t>
  </si>
  <si>
    <t>SHP0030</t>
  </si>
  <si>
    <t>SHP0031</t>
  </si>
  <si>
    <t>R010</t>
  </si>
  <si>
    <t>SHP0032</t>
  </si>
  <si>
    <t>SHP0033</t>
  </si>
  <si>
    <t>SHP0034</t>
  </si>
  <si>
    <t>SHP0035</t>
  </si>
  <si>
    <t>SHP0036</t>
  </si>
  <si>
    <t>SHP0037</t>
  </si>
  <si>
    <t>SHP0038</t>
  </si>
  <si>
    <t>SHP0039</t>
  </si>
  <si>
    <t>SHP0040</t>
  </si>
  <si>
    <t>SHP0041</t>
  </si>
  <si>
    <t>SHP0042</t>
  </si>
  <si>
    <t>SHP0043</t>
  </si>
  <si>
    <t>SHP0044</t>
  </si>
  <si>
    <t>SHP0045</t>
  </si>
  <si>
    <t>SHP0046</t>
  </si>
  <si>
    <t>SHP0047</t>
  </si>
  <si>
    <t>SHP0048</t>
  </si>
  <si>
    <t>SHP0049</t>
  </si>
  <si>
    <t>SHP0050</t>
  </si>
  <si>
    <t>SHP0051</t>
  </si>
  <si>
    <t>SHP0052</t>
  </si>
  <si>
    <t>SHP0053</t>
  </si>
  <si>
    <t>SHP0054</t>
  </si>
  <si>
    <t>SHP0055</t>
  </si>
  <si>
    <t>SHP0056</t>
  </si>
  <si>
    <t>SHP0057</t>
  </si>
  <si>
    <t>SHP0058</t>
  </si>
  <si>
    <t>SHP0059</t>
  </si>
  <si>
    <t>SHP0060</t>
  </si>
  <si>
    <t>SHP0061</t>
  </si>
  <si>
    <t>SHP0062</t>
  </si>
  <si>
    <t>SHP0063</t>
  </si>
  <si>
    <t>SHP0064</t>
  </si>
  <si>
    <t>SHP0065</t>
  </si>
  <si>
    <t>SHP0066</t>
  </si>
  <si>
    <t>SHP0067</t>
  </si>
  <si>
    <t>SHP0068</t>
  </si>
  <si>
    <t>SHP0069</t>
  </si>
  <si>
    <t>SHP0070</t>
  </si>
  <si>
    <t>SHP0071</t>
  </si>
  <si>
    <t>SHP0072</t>
  </si>
  <si>
    <t>SHP0073</t>
  </si>
  <si>
    <t>SHP0074</t>
  </si>
  <si>
    <t>SHP0075</t>
  </si>
  <si>
    <t>SHP0076</t>
  </si>
  <si>
    <t>SHP0077</t>
  </si>
  <si>
    <t>SHP0078</t>
  </si>
  <si>
    <t>SHP0079</t>
  </si>
  <si>
    <t>SHP0080</t>
  </si>
  <si>
    <t>SHP0081</t>
  </si>
  <si>
    <t>SHP0082</t>
  </si>
  <si>
    <t>SHP0083</t>
  </si>
  <si>
    <t>SHP0084</t>
  </si>
  <si>
    <t>SHP0085</t>
  </si>
  <si>
    <t>SHP0086</t>
  </si>
  <si>
    <t>SHP0087</t>
  </si>
  <si>
    <t>SHP0088</t>
  </si>
  <si>
    <t>SHP0089</t>
  </si>
  <si>
    <t>SHP0090</t>
  </si>
  <si>
    <t>SHP0091</t>
  </si>
  <si>
    <t>SHP0092</t>
  </si>
  <si>
    <t>SHP0093</t>
  </si>
  <si>
    <t>SHP0094</t>
  </si>
  <si>
    <t>SHP0095</t>
  </si>
  <si>
    <t>SHP0096</t>
  </si>
  <si>
    <t>SHP0097</t>
  </si>
  <si>
    <t>SHP0098</t>
  </si>
  <si>
    <t>SHP0099</t>
  </si>
  <si>
    <t>SHP0100</t>
  </si>
  <si>
    <t>SHP0101</t>
  </si>
  <si>
    <t>SHP0102</t>
  </si>
  <si>
    <t>SHP0103</t>
  </si>
  <si>
    <t>SHP0104</t>
  </si>
  <si>
    <t>SHP0105</t>
  </si>
  <si>
    <t>SHP0106</t>
  </si>
  <si>
    <t>SHP0107</t>
  </si>
  <si>
    <t>SHP0108</t>
  </si>
  <si>
    <t>SHP0109</t>
  </si>
  <si>
    <t>SHP0110</t>
  </si>
  <si>
    <t>SHP0111</t>
  </si>
  <si>
    <t>SHP0112</t>
  </si>
  <si>
    <t>SHP0113</t>
  </si>
  <si>
    <t>SHP0114</t>
  </si>
  <si>
    <t>SHP0115</t>
  </si>
  <si>
    <t>SHP0116</t>
  </si>
  <si>
    <t>SHP0117</t>
  </si>
  <si>
    <t>SHP0118</t>
  </si>
  <si>
    <t>SHP0119</t>
  </si>
  <si>
    <t>SHP0120</t>
  </si>
  <si>
    <t>SHP0121</t>
  </si>
  <si>
    <t>SHP0122</t>
  </si>
  <si>
    <t>SHP0123</t>
  </si>
  <si>
    <t>SHP0124</t>
  </si>
  <si>
    <t>SHP0125</t>
  </si>
  <si>
    <t>SHP0126</t>
  </si>
  <si>
    <t>SHP0127</t>
  </si>
  <si>
    <t>SHP0128</t>
  </si>
  <si>
    <t>SHP0129</t>
  </si>
  <si>
    <t>SHP0130</t>
  </si>
  <si>
    <t>SHP0131</t>
  </si>
  <si>
    <t>SHP0132</t>
  </si>
  <si>
    <t>SHP0133</t>
  </si>
  <si>
    <t>SHP0134</t>
  </si>
  <si>
    <t>SHP0135</t>
  </si>
  <si>
    <t>SHP0136</t>
  </si>
  <si>
    <t>SHP0137</t>
  </si>
  <si>
    <t>SHP0138</t>
  </si>
  <si>
    <t>SHP0139</t>
  </si>
  <si>
    <t>SHP0140</t>
  </si>
  <si>
    <t>SHP0141</t>
  </si>
  <si>
    <t>SHP0142</t>
  </si>
  <si>
    <t>SHP0143</t>
  </si>
  <si>
    <t>SHP0144</t>
  </si>
  <si>
    <t>SHP0145</t>
  </si>
  <si>
    <t>SHP0146</t>
  </si>
  <si>
    <t>SHP0147</t>
  </si>
  <si>
    <t>SHP0148</t>
  </si>
  <si>
    <t>SHP0149</t>
  </si>
  <si>
    <t>SHP0150</t>
  </si>
  <si>
    <t>SHP0151</t>
  </si>
  <si>
    <t>SHP0152</t>
  </si>
  <si>
    <t>SHP0153</t>
  </si>
  <si>
    <t>SHP0154</t>
  </si>
  <si>
    <t>SHP0155</t>
  </si>
  <si>
    <t>SHP0156</t>
  </si>
  <si>
    <t>SHP0157</t>
  </si>
  <si>
    <t>SHP0158</t>
  </si>
  <si>
    <t>SHP0159</t>
  </si>
  <si>
    <t>SHP0160</t>
  </si>
  <si>
    <t>SHP0161</t>
  </si>
  <si>
    <t>SHP0162</t>
  </si>
  <si>
    <t>SHP0163</t>
  </si>
  <si>
    <t>SHP0164</t>
  </si>
  <si>
    <t>SHP0165</t>
  </si>
  <si>
    <t>SHP0166</t>
  </si>
  <si>
    <t>SHP0167</t>
  </si>
  <si>
    <t>SHP0168</t>
  </si>
  <si>
    <t>SHP0169</t>
  </si>
  <si>
    <t>SHP0170</t>
  </si>
  <si>
    <t>SHP0171</t>
  </si>
  <si>
    <t>SHP0172</t>
  </si>
  <si>
    <t>SHP0173</t>
  </si>
  <si>
    <t>SHP0174</t>
  </si>
  <si>
    <t>SHP0175</t>
  </si>
  <si>
    <t>SHP0176</t>
  </si>
  <si>
    <t>SHP0177</t>
  </si>
  <si>
    <t>SHP0178</t>
  </si>
  <si>
    <t>SHP0179</t>
  </si>
  <si>
    <t>SHP0180</t>
  </si>
  <si>
    <t>SHP0181</t>
  </si>
  <si>
    <t>SHP0182</t>
  </si>
  <si>
    <t>SHP0183</t>
  </si>
  <si>
    <t>SHP0184</t>
  </si>
  <si>
    <t>SHP0185</t>
  </si>
  <si>
    <t>SHP0186</t>
  </si>
  <si>
    <t>SHP0187</t>
  </si>
  <si>
    <t>SHP0188</t>
  </si>
  <si>
    <t>SHP0189</t>
  </si>
  <si>
    <t>SHP0190</t>
  </si>
  <si>
    <t>In Transit</t>
  </si>
  <si>
    <t>SHP0191</t>
  </si>
  <si>
    <t>SHP0192</t>
  </si>
  <si>
    <t>SHP0193</t>
  </si>
  <si>
    <t>SHP0194</t>
  </si>
  <si>
    <t>SHP0195</t>
  </si>
  <si>
    <t>SHP0196</t>
  </si>
  <si>
    <t>SHP0197</t>
  </si>
  <si>
    <t>Booked</t>
  </si>
  <si>
    <t>SHP0198</t>
  </si>
  <si>
    <t>SHP0199</t>
  </si>
  <si>
    <t>SHP0200</t>
  </si>
  <si>
    <t>SHP0201</t>
  </si>
  <si>
    <t>SHP0202</t>
  </si>
  <si>
    <t>SHP0203</t>
  </si>
  <si>
    <t>SHP0204</t>
  </si>
  <si>
    <t>SHP0205</t>
  </si>
  <si>
    <t>SHP0206</t>
  </si>
  <si>
    <t>SHP0207</t>
  </si>
  <si>
    <t>SHP0208</t>
  </si>
  <si>
    <t>SHP0209</t>
  </si>
  <si>
    <t>SHP0210</t>
  </si>
  <si>
    <t>SHP0211</t>
  </si>
  <si>
    <t>SHP0212</t>
  </si>
  <si>
    <t>SHP0213</t>
  </si>
  <si>
    <t>SHP0214</t>
  </si>
  <si>
    <t>SHP0215</t>
  </si>
  <si>
    <t>SHP0216</t>
  </si>
  <si>
    <t>SHP0217</t>
  </si>
  <si>
    <t>SHP0218</t>
  </si>
  <si>
    <t>SHP0219</t>
  </si>
  <si>
    <t>SHP0220</t>
  </si>
  <si>
    <t>SHP0221</t>
  </si>
  <si>
    <t>SHP0222</t>
  </si>
  <si>
    <t>SHP0223</t>
  </si>
  <si>
    <t>SHP0224</t>
  </si>
  <si>
    <t>SHP0225</t>
  </si>
  <si>
    <t>SHP0226</t>
  </si>
  <si>
    <t>SHP0227</t>
  </si>
  <si>
    <t>SHP0228</t>
  </si>
  <si>
    <t>SHP0229</t>
  </si>
  <si>
    <t>SHP0230</t>
  </si>
  <si>
    <t>SHP0231</t>
  </si>
  <si>
    <t>SHP0232</t>
  </si>
  <si>
    <t>SHP0233</t>
  </si>
  <si>
    <t>SHP0234</t>
  </si>
  <si>
    <t>SHP0235</t>
  </si>
  <si>
    <t>SHP0236</t>
  </si>
  <si>
    <t>SHP0237</t>
  </si>
  <si>
    <t>SHP0238</t>
  </si>
  <si>
    <t>SHP0239</t>
  </si>
  <si>
    <t>SHP0240</t>
  </si>
  <si>
    <t>SHP0241</t>
  </si>
  <si>
    <t>SHP0242</t>
  </si>
  <si>
    <t>SHP0243</t>
  </si>
  <si>
    <t>SHP0244</t>
  </si>
  <si>
    <t>SHP0245</t>
  </si>
  <si>
    <t>SHP0246</t>
  </si>
  <si>
    <t>SHP0247</t>
  </si>
  <si>
    <t>SHP0248</t>
  </si>
  <si>
    <t>SHP0249</t>
  </si>
  <si>
    <t>SHP0250</t>
  </si>
  <si>
    <t>SHP0251</t>
  </si>
  <si>
    <t>SHP0252</t>
  </si>
  <si>
    <t>SHP0253</t>
  </si>
  <si>
    <t>SHP0254</t>
  </si>
  <si>
    <t>SHP0255</t>
  </si>
  <si>
    <t>SHP0256</t>
  </si>
  <si>
    <t>SHP0257</t>
  </si>
  <si>
    <t>SHP0258</t>
  </si>
  <si>
    <t>SHP0259</t>
  </si>
  <si>
    <t>SHP0260</t>
  </si>
  <si>
    <t>SHP0261</t>
  </si>
  <si>
    <t>SHP0262</t>
  </si>
  <si>
    <t>SHP0263</t>
  </si>
  <si>
    <t>SHP0264</t>
  </si>
  <si>
    <t>SHP0265</t>
  </si>
  <si>
    <t>SHP0266</t>
  </si>
  <si>
    <t>SHP0267</t>
  </si>
  <si>
    <t>SHP0268</t>
  </si>
  <si>
    <t>SHP0269</t>
  </si>
  <si>
    <t>SHP0270</t>
  </si>
  <si>
    <t>SHP0271</t>
  </si>
  <si>
    <t>SHP0272</t>
  </si>
  <si>
    <t>SHP0273</t>
  </si>
  <si>
    <t>SHP0274</t>
  </si>
  <si>
    <t>SHP0275</t>
  </si>
  <si>
    <t>SHP0276</t>
  </si>
  <si>
    <t>SHP0277</t>
  </si>
  <si>
    <t>SHP0278</t>
  </si>
  <si>
    <t>SHP0279</t>
  </si>
  <si>
    <t>SHP0280</t>
  </si>
  <si>
    <t>SHP0281</t>
  </si>
  <si>
    <t>SHP0282</t>
  </si>
  <si>
    <t>SHP0283</t>
  </si>
  <si>
    <t>SHP0284</t>
  </si>
  <si>
    <t>SHP0285</t>
  </si>
  <si>
    <t>SHP0286</t>
  </si>
  <si>
    <t>SHP0287</t>
  </si>
  <si>
    <t>SHP0288</t>
  </si>
  <si>
    <t>SHP0289</t>
  </si>
  <si>
    <t>SHP0290</t>
  </si>
  <si>
    <t>SHP0291</t>
  </si>
  <si>
    <t>SHP0292</t>
  </si>
  <si>
    <t>SHP0293</t>
  </si>
  <si>
    <t>SHP0294</t>
  </si>
  <si>
    <t>SHP0295</t>
  </si>
  <si>
    <t>SHP0296</t>
  </si>
  <si>
    <t>SHP0297</t>
  </si>
  <si>
    <t>SHP0298</t>
  </si>
  <si>
    <t>SHP0299</t>
  </si>
  <si>
    <t>SHP0300</t>
  </si>
  <si>
    <t>CustomerName</t>
  </si>
  <si>
    <t>Malabar Exports</t>
  </si>
  <si>
    <t>BlueWave Traders</t>
  </si>
  <si>
    <t>Cochin Marine Supplies</t>
  </si>
  <si>
    <t>Southern Textiles</t>
  </si>
  <si>
    <t>Kerala Spices Co.</t>
  </si>
  <si>
    <t>HarborTech Components</t>
  </si>
  <si>
    <t>GreenLeaf Foods</t>
  </si>
  <si>
    <t>West Coast Retail</t>
  </si>
  <si>
    <t>Origin</t>
  </si>
  <si>
    <t>Destination</t>
  </si>
  <si>
    <t>BaseFreightCostUSD</t>
  </si>
  <si>
    <t>Kochi</t>
  </si>
  <si>
    <t>Dubai</t>
  </si>
  <si>
    <t>Singapore</t>
  </si>
  <si>
    <t>Chennai</t>
  </si>
  <si>
    <t>Colombo</t>
  </si>
  <si>
    <t>Mumbai</t>
  </si>
  <si>
    <t>Jebel Ali</t>
  </si>
  <si>
    <t>Bengaluru</t>
  </si>
  <si>
    <t>Doha</t>
  </si>
  <si>
    <t>London</t>
  </si>
  <si>
    <t>Hyderabad</t>
  </si>
  <si>
    <t>Item</t>
  </si>
  <si>
    <t>Details</t>
  </si>
  <si>
    <t>Project</t>
  </si>
  <si>
    <t>Shipping Operations, Freight Cost &amp; Shipment Tracking Analytics</t>
  </si>
  <si>
    <t>Purpose</t>
  </si>
  <si>
    <t>Analyze shipment delays, freight cost variance, customer revenue, and operational performance.</t>
  </si>
  <si>
    <t>Data note</t>
  </si>
  <si>
    <t>Entire dataset is simulated for portfolio practice. It is not Twin Info Solutions or customer data.</t>
  </si>
  <si>
    <t>Date range</t>
  </si>
  <si>
    <t>Bookings between 2025-01-01 and 2025-09-27; future status relative to a 2025-10-01 reporting cut-off.</t>
  </si>
  <si>
    <t>Recommended reporting cut-off</t>
  </si>
  <si>
    <t>2025-10-01 (use this consistently when defining overdue shipments).</t>
  </si>
  <si>
    <t>Suggested KPI 1</t>
  </si>
  <si>
    <t>On-time delivery % = delivered shipments delivered on/before planned delivery date / all delivered shipments.</t>
  </si>
  <si>
    <t>Suggested KPI 2</t>
  </si>
  <si>
    <t>Freight cost variance = ActualFreightCostUSD - EstimatedFreightCostUSD; variance % = variance / estimated cost.</t>
  </si>
  <si>
    <t>Suggested KPI 3</t>
  </si>
  <si>
    <t>Gross profit proxy = RevenueUSD - ActualFreightCostUSD. This is a simplified shipment-level proxy, not full company profit.</t>
  </si>
  <si>
    <t>Suggested KPI 4</t>
  </si>
  <si>
    <t>Open/at-risk shipments: not Delivered and planned delivery date before reporting cut-off, or status = Customs Hold.</t>
  </si>
  <si>
    <t>SQL model</t>
  </si>
  <si>
    <t>Shipments joins Customers on CustomerID and Routes on RouteID. Use Shipments as the fact table.</t>
  </si>
  <si>
    <t>Caution</t>
  </si>
  <si>
    <t>The generated records are illustrative. Do not present the numbers as real company performance or claim measured savings.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</si>
</sst>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1"/>
  <sheetViews>
    <sheetView tabSelected="1" topLeftCell="H1" workbookViewId="0">
      <pane ySplit="1" topLeftCell="A2" activePane="bottomLeft" state="frozen"/>
      <selection pane="bottomLeft" activeCell="W6" sqref="W6"/>
    </sheetView>
  </sheetViews>
  <sheetFormatPr defaultRowHeight="14.4" x14ac:dyDescent="0.3"/>
  <cols>
    <col min="1" max="1" width="12" customWidth="1"/>
    <col min="2" max="2" width="21" customWidth="1"/>
    <col min="3" max="4" width="12" customWidth="1"/>
    <col min="5" max="6" width="14" customWidth="1"/>
    <col min="7" max="7" width="15" customWidth="1"/>
    <col min="8" max="8" width="20" customWidth="1"/>
    <col min="9" max="10" width="21" customWidth="1"/>
    <col min="11" max="11" width="16" customWidth="1"/>
    <col min="12" max="12" width="25" customWidth="1"/>
    <col min="13" max="13" width="22" customWidth="1"/>
    <col min="14" max="15" width="12" customWidth="1"/>
    <col min="23" max="23" width="10.33203125" bestFit="1" customWidth="1"/>
  </cols>
  <sheetData>
    <row r="1" spans="1:23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23" x14ac:dyDescent="0.3">
      <c r="A2" t="s">
        <v>15</v>
      </c>
      <c r="B2" s="1">
        <v>45764</v>
      </c>
      <c r="C2" t="s">
        <v>16</v>
      </c>
      <c r="D2" t="s">
        <v>17</v>
      </c>
      <c r="E2" t="s">
        <v>18</v>
      </c>
      <c r="F2" t="s">
        <v>19</v>
      </c>
      <c r="G2">
        <v>2723</v>
      </c>
      <c r="H2">
        <v>3</v>
      </c>
      <c r="I2" s="1">
        <f>B2+H2</f>
        <v>45767</v>
      </c>
      <c r="J2" s="1">
        <f>IF(O2="","",I2+O2)</f>
        <v>45769</v>
      </c>
      <c r="K2" t="s">
        <v>20</v>
      </c>
      <c r="L2">
        <v>758.69</v>
      </c>
      <c r="M2">
        <v>827.99</v>
      </c>
      <c r="N2">
        <v>1104.29</v>
      </c>
      <c r="O2">
        <v>2</v>
      </c>
    </row>
    <row r="3" spans="1:23" x14ac:dyDescent="0.3">
      <c r="A3" t="s">
        <v>21</v>
      </c>
      <c r="B3" s="1">
        <v>45765</v>
      </c>
      <c r="C3" t="s">
        <v>22</v>
      </c>
      <c r="D3" t="s">
        <v>23</v>
      </c>
      <c r="E3" t="s">
        <v>24</v>
      </c>
      <c r="F3" t="s">
        <v>25</v>
      </c>
      <c r="G3">
        <v>2489.6</v>
      </c>
      <c r="H3">
        <v>6</v>
      </c>
      <c r="I3" s="1">
        <f t="shared" ref="I3:I66" si="0">B3+H3</f>
        <v>45771</v>
      </c>
      <c r="J3" s="1">
        <f t="shared" ref="J3:J66" si="1">IF(O3="","",I3+O3)</f>
        <v>45773</v>
      </c>
      <c r="K3" t="s">
        <v>20</v>
      </c>
      <c r="L3">
        <v>953.43</v>
      </c>
      <c r="M3">
        <v>1012.62</v>
      </c>
      <c r="N3">
        <v>1189.8699999999999</v>
      </c>
      <c r="O3">
        <v>2</v>
      </c>
    </row>
    <row r="4" spans="1:23" x14ac:dyDescent="0.3">
      <c r="A4" t="s">
        <v>26</v>
      </c>
      <c r="B4" s="1">
        <v>45766</v>
      </c>
      <c r="C4" t="s">
        <v>27</v>
      </c>
      <c r="D4" t="s">
        <v>28</v>
      </c>
      <c r="E4" t="s">
        <v>29</v>
      </c>
      <c r="F4" t="s">
        <v>25</v>
      </c>
      <c r="G4">
        <v>4977.6000000000004</v>
      </c>
      <c r="H4">
        <v>2</v>
      </c>
      <c r="I4" s="1">
        <f t="shared" si="0"/>
        <v>45768</v>
      </c>
      <c r="J4" s="1">
        <f t="shared" si="1"/>
        <v>45768</v>
      </c>
      <c r="K4" t="s">
        <v>20</v>
      </c>
      <c r="L4">
        <v>213.46</v>
      </c>
      <c r="M4">
        <v>370.99</v>
      </c>
      <c r="N4">
        <v>297.73</v>
      </c>
      <c r="O4">
        <v>0</v>
      </c>
      <c r="W4" s="1"/>
    </row>
    <row r="5" spans="1:23" x14ac:dyDescent="0.3">
      <c r="A5" t="s">
        <v>30</v>
      </c>
      <c r="B5" s="1">
        <v>45767</v>
      </c>
      <c r="C5" t="s">
        <v>31</v>
      </c>
      <c r="D5" t="s">
        <v>32</v>
      </c>
      <c r="E5" t="s">
        <v>24</v>
      </c>
      <c r="F5" t="s">
        <v>25</v>
      </c>
      <c r="G5">
        <v>7727.8</v>
      </c>
      <c r="H5">
        <v>14</v>
      </c>
      <c r="I5" s="1">
        <f t="shared" si="0"/>
        <v>45781</v>
      </c>
      <c r="J5" s="1">
        <f t="shared" si="1"/>
        <v>45784</v>
      </c>
      <c r="K5" t="s">
        <v>20</v>
      </c>
      <c r="L5">
        <v>2046.36</v>
      </c>
      <c r="M5">
        <v>2234.7800000000002</v>
      </c>
      <c r="N5">
        <v>3418.22</v>
      </c>
      <c r="O5">
        <v>3</v>
      </c>
    </row>
    <row r="6" spans="1:23" x14ac:dyDescent="0.3">
      <c r="A6" t="s">
        <v>33</v>
      </c>
      <c r="B6" s="1">
        <v>45768</v>
      </c>
      <c r="C6" t="s">
        <v>34</v>
      </c>
      <c r="D6" t="s">
        <v>28</v>
      </c>
      <c r="E6" t="s">
        <v>29</v>
      </c>
      <c r="F6" t="s">
        <v>25</v>
      </c>
      <c r="G6">
        <v>352.4</v>
      </c>
      <c r="H6">
        <v>2</v>
      </c>
      <c r="I6" s="1">
        <f t="shared" si="0"/>
        <v>45770</v>
      </c>
      <c r="J6" s="1">
        <f t="shared" si="1"/>
        <v>45770</v>
      </c>
      <c r="K6" t="s">
        <v>20</v>
      </c>
      <c r="L6">
        <v>236.2</v>
      </c>
      <c r="M6">
        <v>306.75</v>
      </c>
      <c r="N6">
        <v>359.59</v>
      </c>
      <c r="O6">
        <v>0</v>
      </c>
    </row>
    <row r="7" spans="1:23" x14ac:dyDescent="0.3">
      <c r="A7" t="s">
        <v>35</v>
      </c>
      <c r="B7" s="1">
        <v>45769</v>
      </c>
      <c r="C7" t="s">
        <v>34</v>
      </c>
      <c r="D7" t="s">
        <v>32</v>
      </c>
      <c r="E7" t="s">
        <v>24</v>
      </c>
      <c r="F7" t="s">
        <v>25</v>
      </c>
      <c r="G7">
        <v>6219.1</v>
      </c>
      <c r="H7">
        <v>14</v>
      </c>
      <c r="I7" s="1">
        <f t="shared" si="0"/>
        <v>45783</v>
      </c>
      <c r="J7" s="1">
        <f t="shared" si="1"/>
        <v>45783</v>
      </c>
      <c r="K7" t="s">
        <v>20</v>
      </c>
      <c r="L7">
        <v>1653.11</v>
      </c>
      <c r="M7">
        <v>1911.33</v>
      </c>
      <c r="N7">
        <v>2823.97</v>
      </c>
      <c r="O7">
        <v>0</v>
      </c>
    </row>
    <row r="8" spans="1:23" x14ac:dyDescent="0.3">
      <c r="A8" t="s">
        <v>36</v>
      </c>
      <c r="B8" s="1">
        <v>45770</v>
      </c>
      <c r="C8" t="s">
        <v>22</v>
      </c>
      <c r="D8" t="s">
        <v>32</v>
      </c>
      <c r="E8" t="s">
        <v>24</v>
      </c>
      <c r="F8" t="s">
        <v>19</v>
      </c>
      <c r="G8">
        <v>6643.6</v>
      </c>
      <c r="H8">
        <v>14</v>
      </c>
      <c r="I8" s="1">
        <f t="shared" si="0"/>
        <v>45784</v>
      </c>
      <c r="J8" s="1">
        <f t="shared" si="1"/>
        <v>45784</v>
      </c>
      <c r="K8" t="s">
        <v>20</v>
      </c>
      <c r="L8">
        <v>2280.1799999999998</v>
      </c>
      <c r="M8">
        <v>2708.89</v>
      </c>
      <c r="N8">
        <v>3314.85</v>
      </c>
      <c r="O8">
        <v>0</v>
      </c>
    </row>
    <row r="9" spans="1:23" x14ac:dyDescent="0.3">
      <c r="A9" t="s">
        <v>37</v>
      </c>
      <c r="B9" s="1">
        <v>45771</v>
      </c>
      <c r="C9" t="s">
        <v>38</v>
      </c>
      <c r="D9" t="s">
        <v>28</v>
      </c>
      <c r="E9" t="s">
        <v>29</v>
      </c>
      <c r="F9" t="s">
        <v>25</v>
      </c>
      <c r="G9">
        <v>123.7</v>
      </c>
      <c r="H9">
        <v>2</v>
      </c>
      <c r="I9" s="1">
        <f t="shared" si="0"/>
        <v>45773</v>
      </c>
      <c r="J9" s="1">
        <f t="shared" si="1"/>
        <v>45773</v>
      </c>
      <c r="K9" t="s">
        <v>20</v>
      </c>
      <c r="L9">
        <v>209.83</v>
      </c>
      <c r="M9">
        <v>228.24</v>
      </c>
      <c r="N9">
        <v>280.62</v>
      </c>
      <c r="O9">
        <v>0</v>
      </c>
    </row>
    <row r="10" spans="1:23" x14ac:dyDescent="0.3">
      <c r="A10" t="s">
        <v>39</v>
      </c>
      <c r="B10" s="1">
        <v>45772</v>
      </c>
      <c r="C10" t="s">
        <v>31</v>
      </c>
      <c r="D10" t="s">
        <v>40</v>
      </c>
      <c r="E10" t="s">
        <v>24</v>
      </c>
      <c r="F10" t="s">
        <v>25</v>
      </c>
      <c r="G10">
        <v>6915.8</v>
      </c>
      <c r="H10">
        <v>12</v>
      </c>
      <c r="I10" s="1">
        <f t="shared" si="0"/>
        <v>45784</v>
      </c>
      <c r="J10" s="1">
        <f t="shared" si="1"/>
        <v>45786</v>
      </c>
      <c r="K10" t="s">
        <v>20</v>
      </c>
      <c r="L10">
        <v>1555.39</v>
      </c>
      <c r="M10">
        <v>1817.02</v>
      </c>
      <c r="N10">
        <v>2173.79</v>
      </c>
      <c r="O10">
        <v>2</v>
      </c>
    </row>
    <row r="11" spans="1:23" x14ac:dyDescent="0.3">
      <c r="A11" t="s">
        <v>41</v>
      </c>
      <c r="B11" s="1">
        <v>45773</v>
      </c>
      <c r="C11" t="s">
        <v>27</v>
      </c>
      <c r="D11" t="s">
        <v>42</v>
      </c>
      <c r="E11" t="s">
        <v>24</v>
      </c>
      <c r="F11" t="s">
        <v>25</v>
      </c>
      <c r="G11">
        <v>7106.7</v>
      </c>
      <c r="H11">
        <v>10</v>
      </c>
      <c r="I11" s="1">
        <f t="shared" si="0"/>
        <v>45783</v>
      </c>
      <c r="J11" s="1">
        <f t="shared" si="1"/>
        <v>45783</v>
      </c>
      <c r="K11" t="s">
        <v>20</v>
      </c>
      <c r="L11">
        <v>1453.29</v>
      </c>
      <c r="M11">
        <v>1677.2</v>
      </c>
      <c r="N11">
        <v>2300.31</v>
      </c>
      <c r="O11">
        <v>0</v>
      </c>
    </row>
    <row r="12" spans="1:23" x14ac:dyDescent="0.3">
      <c r="A12" t="s">
        <v>43</v>
      </c>
      <c r="B12" s="1">
        <v>45774</v>
      </c>
      <c r="C12" t="s">
        <v>44</v>
      </c>
      <c r="D12" t="s">
        <v>45</v>
      </c>
      <c r="E12" t="s">
        <v>18</v>
      </c>
      <c r="F12" t="s">
        <v>19</v>
      </c>
      <c r="G12">
        <v>3466.1</v>
      </c>
      <c r="H12">
        <v>2</v>
      </c>
      <c r="I12" s="1">
        <f t="shared" si="0"/>
        <v>45776</v>
      </c>
      <c r="J12" s="1">
        <f t="shared" si="1"/>
        <v>45778</v>
      </c>
      <c r="K12" t="s">
        <v>20</v>
      </c>
      <c r="L12">
        <v>652.6</v>
      </c>
      <c r="M12">
        <v>746.15</v>
      </c>
      <c r="N12">
        <v>1014.09</v>
      </c>
      <c r="O12">
        <v>2</v>
      </c>
    </row>
    <row r="13" spans="1:23" x14ac:dyDescent="0.3">
      <c r="A13" t="s">
        <v>46</v>
      </c>
      <c r="B13" s="1">
        <v>45775</v>
      </c>
      <c r="C13" t="s">
        <v>44</v>
      </c>
      <c r="D13" t="s">
        <v>23</v>
      </c>
      <c r="E13" t="s">
        <v>24</v>
      </c>
      <c r="F13" t="s">
        <v>25</v>
      </c>
      <c r="G13">
        <v>3330.2</v>
      </c>
      <c r="H13">
        <v>6</v>
      </c>
      <c r="I13" s="1">
        <f t="shared" si="0"/>
        <v>45781</v>
      </c>
      <c r="J13" s="1">
        <f t="shared" si="1"/>
        <v>45781</v>
      </c>
      <c r="K13" t="s">
        <v>20</v>
      </c>
      <c r="L13">
        <v>821.71</v>
      </c>
      <c r="M13">
        <v>1004.59</v>
      </c>
      <c r="N13">
        <v>1161.72</v>
      </c>
      <c r="O13">
        <v>0</v>
      </c>
    </row>
    <row r="14" spans="1:23" x14ac:dyDescent="0.3">
      <c r="A14" t="s">
        <v>47</v>
      </c>
      <c r="B14" s="1">
        <v>45776</v>
      </c>
      <c r="C14" t="s">
        <v>38</v>
      </c>
      <c r="D14" t="s">
        <v>32</v>
      </c>
      <c r="E14" t="s">
        <v>24</v>
      </c>
      <c r="F14" t="s">
        <v>25</v>
      </c>
      <c r="G14">
        <v>5096.6000000000004</v>
      </c>
      <c r="H14">
        <v>14</v>
      </c>
      <c r="I14" s="1">
        <f t="shared" si="0"/>
        <v>45790</v>
      </c>
      <c r="J14" s="1">
        <f t="shared" si="1"/>
        <v>45790</v>
      </c>
      <c r="K14" t="s">
        <v>20</v>
      </c>
      <c r="L14">
        <v>2058.41</v>
      </c>
      <c r="M14">
        <v>2389.5500000000002</v>
      </c>
      <c r="N14">
        <v>3520.41</v>
      </c>
      <c r="O14">
        <v>0</v>
      </c>
    </row>
    <row r="15" spans="1:23" x14ac:dyDescent="0.3">
      <c r="A15" t="s">
        <v>48</v>
      </c>
      <c r="B15" s="1">
        <v>45777</v>
      </c>
      <c r="C15" t="s">
        <v>22</v>
      </c>
      <c r="D15" t="s">
        <v>32</v>
      </c>
      <c r="E15" t="s">
        <v>24</v>
      </c>
      <c r="F15" t="s">
        <v>19</v>
      </c>
      <c r="G15">
        <v>5209.7</v>
      </c>
      <c r="H15">
        <v>14</v>
      </c>
      <c r="I15" s="1">
        <f t="shared" si="0"/>
        <v>45791</v>
      </c>
      <c r="J15" s="1">
        <f t="shared" si="1"/>
        <v>45794</v>
      </c>
      <c r="K15" t="s">
        <v>20</v>
      </c>
      <c r="L15">
        <v>2226</v>
      </c>
      <c r="M15">
        <v>2383.7800000000002</v>
      </c>
      <c r="N15">
        <v>3000.82</v>
      </c>
      <c r="O15">
        <v>3</v>
      </c>
    </row>
    <row r="16" spans="1:23" x14ac:dyDescent="0.3">
      <c r="A16" t="s">
        <v>49</v>
      </c>
      <c r="B16" s="1">
        <v>45778</v>
      </c>
      <c r="C16" t="s">
        <v>50</v>
      </c>
      <c r="D16" t="s">
        <v>28</v>
      </c>
      <c r="E16" t="s">
        <v>29</v>
      </c>
      <c r="F16" t="s">
        <v>19</v>
      </c>
      <c r="G16">
        <v>2013.5</v>
      </c>
      <c r="H16">
        <v>2</v>
      </c>
      <c r="I16" s="1">
        <f t="shared" si="0"/>
        <v>45780</v>
      </c>
      <c r="J16" s="1">
        <f t="shared" si="1"/>
        <v>45780</v>
      </c>
      <c r="K16" t="s">
        <v>20</v>
      </c>
      <c r="L16">
        <v>256.83999999999997</v>
      </c>
      <c r="M16">
        <v>271.10000000000002</v>
      </c>
      <c r="N16">
        <v>340.98</v>
      </c>
      <c r="O16">
        <v>0</v>
      </c>
    </row>
    <row r="17" spans="1:15" x14ac:dyDescent="0.3">
      <c r="A17" t="s">
        <v>51</v>
      </c>
      <c r="B17" s="1">
        <v>45779</v>
      </c>
      <c r="C17" t="s">
        <v>27</v>
      </c>
      <c r="D17" t="s">
        <v>52</v>
      </c>
      <c r="E17" t="s">
        <v>18</v>
      </c>
      <c r="F17" t="s">
        <v>19</v>
      </c>
      <c r="G17">
        <v>5721.2</v>
      </c>
      <c r="H17">
        <v>4</v>
      </c>
      <c r="I17" s="1">
        <f t="shared" si="0"/>
        <v>45783</v>
      </c>
      <c r="J17" s="1">
        <f t="shared" si="1"/>
        <v>45783</v>
      </c>
      <c r="K17" t="s">
        <v>20</v>
      </c>
      <c r="L17">
        <v>1212.56</v>
      </c>
      <c r="M17">
        <v>1543.53</v>
      </c>
      <c r="N17">
        <v>2033.54</v>
      </c>
      <c r="O17">
        <v>0</v>
      </c>
    </row>
    <row r="18" spans="1:15" x14ac:dyDescent="0.3">
      <c r="A18" t="s">
        <v>53</v>
      </c>
      <c r="B18" s="1">
        <v>45780</v>
      </c>
      <c r="C18" t="s">
        <v>27</v>
      </c>
      <c r="D18" t="s">
        <v>52</v>
      </c>
      <c r="E18" t="s">
        <v>18</v>
      </c>
      <c r="F18" t="s">
        <v>25</v>
      </c>
      <c r="G18">
        <v>5104.1000000000004</v>
      </c>
      <c r="H18">
        <v>4</v>
      </c>
      <c r="I18" s="1">
        <f t="shared" si="0"/>
        <v>45784</v>
      </c>
      <c r="J18" s="1">
        <f t="shared" si="1"/>
        <v>45784</v>
      </c>
      <c r="K18" t="s">
        <v>20</v>
      </c>
      <c r="L18">
        <v>1005.68</v>
      </c>
      <c r="M18">
        <v>1109.08</v>
      </c>
      <c r="N18">
        <v>1331.92</v>
      </c>
      <c r="O18">
        <v>0</v>
      </c>
    </row>
    <row r="19" spans="1:15" x14ac:dyDescent="0.3">
      <c r="A19" t="s">
        <v>54</v>
      </c>
      <c r="B19" s="1">
        <v>45781</v>
      </c>
      <c r="C19" t="s">
        <v>16</v>
      </c>
      <c r="D19" t="s">
        <v>45</v>
      </c>
      <c r="E19" t="s">
        <v>18</v>
      </c>
      <c r="F19" t="s">
        <v>25</v>
      </c>
      <c r="G19">
        <v>1997.9</v>
      </c>
      <c r="H19">
        <v>2</v>
      </c>
      <c r="I19" s="1">
        <f t="shared" si="0"/>
        <v>45783</v>
      </c>
      <c r="J19" s="1">
        <f t="shared" si="1"/>
        <v>45790</v>
      </c>
      <c r="K19" t="s">
        <v>20</v>
      </c>
      <c r="L19">
        <v>563.53</v>
      </c>
      <c r="M19">
        <v>635.41</v>
      </c>
      <c r="N19">
        <v>824.67</v>
      </c>
      <c r="O19">
        <v>7</v>
      </c>
    </row>
    <row r="20" spans="1:15" x14ac:dyDescent="0.3">
      <c r="A20" t="s">
        <v>55</v>
      </c>
      <c r="B20" s="1">
        <v>45782</v>
      </c>
      <c r="C20" t="s">
        <v>16</v>
      </c>
      <c r="D20" t="s">
        <v>45</v>
      </c>
      <c r="E20" t="s">
        <v>18</v>
      </c>
      <c r="F20" t="s">
        <v>25</v>
      </c>
      <c r="G20">
        <v>4104.8999999999996</v>
      </c>
      <c r="H20">
        <v>2</v>
      </c>
      <c r="I20" s="1">
        <f t="shared" si="0"/>
        <v>45784</v>
      </c>
      <c r="J20" s="1">
        <f t="shared" si="1"/>
        <v>45785</v>
      </c>
      <c r="K20" t="s">
        <v>20</v>
      </c>
      <c r="L20">
        <v>645.48</v>
      </c>
      <c r="M20">
        <v>667.72</v>
      </c>
      <c r="N20">
        <v>808.13</v>
      </c>
      <c r="O20">
        <v>1</v>
      </c>
    </row>
    <row r="21" spans="1:15" x14ac:dyDescent="0.3">
      <c r="A21" t="s">
        <v>56</v>
      </c>
      <c r="B21" s="1">
        <v>45783</v>
      </c>
      <c r="C21" t="s">
        <v>16</v>
      </c>
      <c r="D21" t="s">
        <v>23</v>
      </c>
      <c r="E21" t="s">
        <v>24</v>
      </c>
      <c r="F21" t="s">
        <v>25</v>
      </c>
      <c r="G21">
        <v>841.7</v>
      </c>
      <c r="H21">
        <v>6</v>
      </c>
      <c r="I21" s="1">
        <f t="shared" si="0"/>
        <v>45789</v>
      </c>
      <c r="J21" s="1">
        <f t="shared" si="1"/>
        <v>45790</v>
      </c>
      <c r="K21" t="s">
        <v>20</v>
      </c>
      <c r="L21">
        <v>629.82000000000005</v>
      </c>
      <c r="M21">
        <v>694.02</v>
      </c>
      <c r="N21">
        <v>894.92</v>
      </c>
      <c r="O21">
        <v>1</v>
      </c>
    </row>
    <row r="22" spans="1:15" x14ac:dyDescent="0.3">
      <c r="A22" t="s">
        <v>57</v>
      </c>
      <c r="B22" s="1">
        <v>45784</v>
      </c>
      <c r="C22" t="s">
        <v>31</v>
      </c>
      <c r="D22" t="s">
        <v>52</v>
      </c>
      <c r="E22" t="s">
        <v>18</v>
      </c>
      <c r="F22" t="s">
        <v>25</v>
      </c>
      <c r="G22">
        <v>4368.3</v>
      </c>
      <c r="H22">
        <v>4</v>
      </c>
      <c r="I22" s="1">
        <f t="shared" si="0"/>
        <v>45788</v>
      </c>
      <c r="J22" s="1">
        <f t="shared" si="1"/>
        <v>45793</v>
      </c>
      <c r="K22" t="s">
        <v>20</v>
      </c>
      <c r="L22">
        <v>844.65</v>
      </c>
      <c r="M22">
        <v>907.63</v>
      </c>
      <c r="N22">
        <v>1119.68</v>
      </c>
      <c r="O22">
        <v>5</v>
      </c>
    </row>
    <row r="23" spans="1:15" x14ac:dyDescent="0.3">
      <c r="A23" t="s">
        <v>58</v>
      </c>
      <c r="B23" s="1">
        <v>45785</v>
      </c>
      <c r="C23" t="s">
        <v>16</v>
      </c>
      <c r="D23" t="s">
        <v>17</v>
      </c>
      <c r="E23" t="s">
        <v>18</v>
      </c>
      <c r="F23" t="s">
        <v>25</v>
      </c>
      <c r="G23">
        <v>7726.1</v>
      </c>
      <c r="H23">
        <v>3</v>
      </c>
      <c r="I23" s="1">
        <f t="shared" si="0"/>
        <v>45788</v>
      </c>
      <c r="J23" s="1">
        <f t="shared" si="1"/>
        <v>45791</v>
      </c>
      <c r="K23" t="s">
        <v>20</v>
      </c>
      <c r="L23">
        <v>745.39</v>
      </c>
      <c r="M23">
        <v>823.46</v>
      </c>
      <c r="N23">
        <v>1275.1300000000001</v>
      </c>
      <c r="O23">
        <v>3</v>
      </c>
    </row>
    <row r="24" spans="1:15" x14ac:dyDescent="0.3">
      <c r="A24" t="s">
        <v>59</v>
      </c>
      <c r="B24" s="1">
        <v>45786</v>
      </c>
      <c r="C24" t="s">
        <v>27</v>
      </c>
      <c r="D24" t="s">
        <v>17</v>
      </c>
      <c r="E24" t="s">
        <v>18</v>
      </c>
      <c r="F24" t="s">
        <v>19</v>
      </c>
      <c r="G24">
        <v>5164.8999999999996</v>
      </c>
      <c r="H24">
        <v>3</v>
      </c>
      <c r="I24" s="1">
        <f t="shared" si="0"/>
        <v>45789</v>
      </c>
      <c r="J24" s="1">
        <f t="shared" si="1"/>
        <v>45789</v>
      </c>
      <c r="K24" t="s">
        <v>20</v>
      </c>
      <c r="L24">
        <v>799.94</v>
      </c>
      <c r="M24">
        <v>1050.76</v>
      </c>
      <c r="N24">
        <v>1360.73</v>
      </c>
      <c r="O24">
        <v>0</v>
      </c>
    </row>
    <row r="25" spans="1:15" x14ac:dyDescent="0.3">
      <c r="A25" t="s">
        <v>60</v>
      </c>
      <c r="B25" s="1">
        <v>45787</v>
      </c>
      <c r="C25" t="s">
        <v>16</v>
      </c>
      <c r="D25" t="s">
        <v>52</v>
      </c>
      <c r="E25" t="s">
        <v>18</v>
      </c>
      <c r="F25" t="s">
        <v>19</v>
      </c>
      <c r="G25">
        <v>2328.6999999999998</v>
      </c>
      <c r="H25">
        <v>4</v>
      </c>
      <c r="I25" s="1">
        <f t="shared" si="0"/>
        <v>45791</v>
      </c>
      <c r="J25" s="1">
        <f t="shared" si="1"/>
        <v>45791</v>
      </c>
      <c r="K25" t="s">
        <v>20</v>
      </c>
      <c r="L25">
        <v>788.06</v>
      </c>
      <c r="M25">
        <v>816.61</v>
      </c>
      <c r="N25">
        <v>1257.1500000000001</v>
      </c>
      <c r="O25">
        <v>0</v>
      </c>
    </row>
    <row r="26" spans="1:15" x14ac:dyDescent="0.3">
      <c r="A26" t="s">
        <v>61</v>
      </c>
      <c r="B26" s="1">
        <v>45788</v>
      </c>
      <c r="C26" t="s">
        <v>22</v>
      </c>
      <c r="D26" t="s">
        <v>42</v>
      </c>
      <c r="E26" t="s">
        <v>24</v>
      </c>
      <c r="F26" t="s">
        <v>19</v>
      </c>
      <c r="G26">
        <v>1496.3</v>
      </c>
      <c r="H26">
        <v>10</v>
      </c>
      <c r="I26" s="1">
        <f t="shared" si="0"/>
        <v>45798</v>
      </c>
      <c r="J26" s="1">
        <f t="shared" si="1"/>
        <v>45799</v>
      </c>
      <c r="K26" t="s">
        <v>20</v>
      </c>
      <c r="L26">
        <v>1189.22</v>
      </c>
      <c r="M26">
        <v>1348.51</v>
      </c>
      <c r="N26">
        <v>1817.19</v>
      </c>
      <c r="O26">
        <v>1</v>
      </c>
    </row>
    <row r="27" spans="1:15" x14ac:dyDescent="0.3">
      <c r="A27" t="s">
        <v>62</v>
      </c>
      <c r="B27" s="1">
        <v>45789</v>
      </c>
      <c r="C27" t="s">
        <v>44</v>
      </c>
      <c r="D27" t="s">
        <v>52</v>
      </c>
      <c r="E27" t="s">
        <v>18</v>
      </c>
      <c r="F27" t="s">
        <v>25</v>
      </c>
      <c r="G27">
        <v>2063.6999999999998</v>
      </c>
      <c r="H27">
        <v>4</v>
      </c>
      <c r="I27" s="1">
        <f t="shared" si="0"/>
        <v>45793</v>
      </c>
      <c r="J27" s="1">
        <f t="shared" si="1"/>
        <v>45794</v>
      </c>
      <c r="K27" t="s">
        <v>20</v>
      </c>
      <c r="L27">
        <v>1034.6199999999999</v>
      </c>
      <c r="M27">
        <v>1070.82</v>
      </c>
      <c r="N27">
        <v>1504.01</v>
      </c>
      <c r="O27">
        <v>1</v>
      </c>
    </row>
    <row r="28" spans="1:15" x14ac:dyDescent="0.3">
      <c r="A28" t="s">
        <v>63</v>
      </c>
      <c r="B28" s="1">
        <v>45790</v>
      </c>
      <c r="C28" t="s">
        <v>38</v>
      </c>
      <c r="D28" t="s">
        <v>64</v>
      </c>
      <c r="E28" t="s">
        <v>18</v>
      </c>
      <c r="F28" t="s">
        <v>25</v>
      </c>
      <c r="G28">
        <v>5377.9</v>
      </c>
      <c r="H28">
        <v>2</v>
      </c>
      <c r="I28" s="1">
        <f t="shared" si="0"/>
        <v>45792</v>
      </c>
      <c r="J28" s="1">
        <f t="shared" si="1"/>
        <v>45796</v>
      </c>
      <c r="K28" t="s">
        <v>20</v>
      </c>
      <c r="L28">
        <v>585.37</v>
      </c>
      <c r="M28">
        <v>791.51</v>
      </c>
      <c r="N28">
        <v>945.52</v>
      </c>
      <c r="O28">
        <v>4</v>
      </c>
    </row>
    <row r="29" spans="1:15" x14ac:dyDescent="0.3">
      <c r="A29" t="s">
        <v>65</v>
      </c>
      <c r="B29" s="1">
        <v>45791</v>
      </c>
      <c r="C29" t="s">
        <v>16</v>
      </c>
      <c r="D29" t="s">
        <v>23</v>
      </c>
      <c r="E29" t="s">
        <v>24</v>
      </c>
      <c r="F29" t="s">
        <v>19</v>
      </c>
      <c r="G29">
        <v>7325.7</v>
      </c>
      <c r="H29">
        <v>6</v>
      </c>
      <c r="I29" s="1">
        <f t="shared" si="0"/>
        <v>45797</v>
      </c>
      <c r="J29" s="1">
        <f t="shared" si="1"/>
        <v>45799</v>
      </c>
      <c r="K29" t="s">
        <v>20</v>
      </c>
      <c r="L29">
        <v>639.29999999999995</v>
      </c>
      <c r="M29">
        <v>873.82</v>
      </c>
      <c r="N29">
        <v>1154.53</v>
      </c>
      <c r="O29">
        <v>2</v>
      </c>
    </row>
    <row r="30" spans="1:15" x14ac:dyDescent="0.3">
      <c r="A30" t="s">
        <v>66</v>
      </c>
      <c r="B30" s="1">
        <v>45792</v>
      </c>
      <c r="C30" t="s">
        <v>38</v>
      </c>
      <c r="D30" t="s">
        <v>28</v>
      </c>
      <c r="E30" t="s">
        <v>29</v>
      </c>
      <c r="F30" t="s">
        <v>19</v>
      </c>
      <c r="G30">
        <v>6821</v>
      </c>
      <c r="H30">
        <v>2</v>
      </c>
      <c r="I30" s="1">
        <f t="shared" si="0"/>
        <v>45794</v>
      </c>
      <c r="J30" s="1">
        <f t="shared" si="1"/>
        <v>45794</v>
      </c>
      <c r="K30" t="s">
        <v>20</v>
      </c>
      <c r="L30">
        <v>322.7</v>
      </c>
      <c r="M30">
        <v>408.04</v>
      </c>
      <c r="N30">
        <v>434.3</v>
      </c>
      <c r="O30">
        <v>0</v>
      </c>
    </row>
    <row r="31" spans="1:15" x14ac:dyDescent="0.3">
      <c r="A31" t="s">
        <v>67</v>
      </c>
      <c r="B31" s="1">
        <v>45793</v>
      </c>
      <c r="C31" t="s">
        <v>27</v>
      </c>
      <c r="D31" t="s">
        <v>42</v>
      </c>
      <c r="E31" t="s">
        <v>24</v>
      </c>
      <c r="F31" t="s">
        <v>19</v>
      </c>
      <c r="G31">
        <v>7921.2</v>
      </c>
      <c r="H31">
        <v>10</v>
      </c>
      <c r="I31" s="1">
        <f t="shared" si="0"/>
        <v>45803</v>
      </c>
      <c r="J31" s="1">
        <f t="shared" si="1"/>
        <v>45806</v>
      </c>
      <c r="K31" t="s">
        <v>20</v>
      </c>
      <c r="L31">
        <v>1608.43</v>
      </c>
      <c r="M31">
        <v>1658.72</v>
      </c>
      <c r="N31">
        <v>2315.58</v>
      </c>
      <c r="O31">
        <v>3</v>
      </c>
    </row>
    <row r="32" spans="1:15" x14ac:dyDescent="0.3">
      <c r="A32" t="s">
        <v>68</v>
      </c>
      <c r="B32" s="1">
        <v>45794</v>
      </c>
      <c r="C32" t="s">
        <v>34</v>
      </c>
      <c r="D32" t="s">
        <v>69</v>
      </c>
      <c r="E32" t="s">
        <v>29</v>
      </c>
      <c r="F32" t="s">
        <v>19</v>
      </c>
      <c r="G32">
        <v>3404.7</v>
      </c>
      <c r="H32">
        <v>2</v>
      </c>
      <c r="I32" s="1">
        <f t="shared" si="0"/>
        <v>45796</v>
      </c>
      <c r="J32" s="1">
        <f t="shared" si="1"/>
        <v>45797</v>
      </c>
      <c r="K32" t="s">
        <v>20</v>
      </c>
      <c r="L32">
        <v>256.70999999999998</v>
      </c>
      <c r="M32">
        <v>351.61</v>
      </c>
      <c r="N32">
        <v>350.9</v>
      </c>
      <c r="O32">
        <v>1</v>
      </c>
    </row>
    <row r="33" spans="1:15" x14ac:dyDescent="0.3">
      <c r="A33" t="s">
        <v>70</v>
      </c>
      <c r="B33" s="1">
        <v>45795</v>
      </c>
      <c r="C33" t="s">
        <v>38</v>
      </c>
      <c r="D33" t="s">
        <v>52</v>
      </c>
      <c r="E33" t="s">
        <v>18</v>
      </c>
      <c r="F33" t="s">
        <v>19</v>
      </c>
      <c r="G33">
        <v>2756.9</v>
      </c>
      <c r="H33">
        <v>4</v>
      </c>
      <c r="I33" s="1">
        <f t="shared" si="0"/>
        <v>45799</v>
      </c>
      <c r="J33" s="1">
        <f t="shared" si="1"/>
        <v>45801</v>
      </c>
      <c r="K33" t="s">
        <v>20</v>
      </c>
      <c r="L33">
        <v>1070.6300000000001</v>
      </c>
      <c r="M33">
        <v>1332.29</v>
      </c>
      <c r="N33">
        <v>1825.72</v>
      </c>
      <c r="O33">
        <v>2</v>
      </c>
    </row>
    <row r="34" spans="1:15" x14ac:dyDescent="0.3">
      <c r="A34" t="s">
        <v>71</v>
      </c>
      <c r="B34" s="1">
        <v>45796</v>
      </c>
      <c r="C34" t="s">
        <v>31</v>
      </c>
      <c r="D34" t="s">
        <v>42</v>
      </c>
      <c r="E34" t="s">
        <v>24</v>
      </c>
      <c r="F34" t="s">
        <v>19</v>
      </c>
      <c r="G34">
        <v>4759.3999999999996</v>
      </c>
      <c r="H34">
        <v>10</v>
      </c>
      <c r="I34" s="1">
        <f t="shared" si="0"/>
        <v>45806</v>
      </c>
      <c r="J34" s="1">
        <f t="shared" si="1"/>
        <v>45807</v>
      </c>
      <c r="K34" t="s">
        <v>20</v>
      </c>
      <c r="L34">
        <v>1250.92</v>
      </c>
      <c r="M34">
        <v>1426.97</v>
      </c>
      <c r="N34">
        <v>1652.82</v>
      </c>
      <c r="O34">
        <v>1</v>
      </c>
    </row>
    <row r="35" spans="1:15" x14ac:dyDescent="0.3">
      <c r="A35" t="s">
        <v>72</v>
      </c>
      <c r="B35" s="1">
        <v>45797</v>
      </c>
      <c r="C35" t="s">
        <v>34</v>
      </c>
      <c r="D35" t="s">
        <v>32</v>
      </c>
      <c r="E35" t="s">
        <v>24</v>
      </c>
      <c r="F35" t="s">
        <v>19</v>
      </c>
      <c r="G35">
        <v>5013.3</v>
      </c>
      <c r="H35">
        <v>14</v>
      </c>
      <c r="I35" s="1">
        <f t="shared" si="0"/>
        <v>45811</v>
      </c>
      <c r="J35" s="1">
        <f t="shared" si="1"/>
        <v>45811</v>
      </c>
      <c r="K35" t="s">
        <v>20</v>
      </c>
      <c r="L35">
        <v>1751.94</v>
      </c>
      <c r="M35">
        <v>2059.04</v>
      </c>
      <c r="N35">
        <v>2496.19</v>
      </c>
      <c r="O35">
        <v>0</v>
      </c>
    </row>
    <row r="36" spans="1:15" x14ac:dyDescent="0.3">
      <c r="A36" t="s">
        <v>73</v>
      </c>
      <c r="B36" s="1">
        <v>45798</v>
      </c>
      <c r="C36" t="s">
        <v>22</v>
      </c>
      <c r="D36" t="s">
        <v>32</v>
      </c>
      <c r="E36" t="s">
        <v>24</v>
      </c>
      <c r="F36" t="s">
        <v>25</v>
      </c>
      <c r="G36">
        <v>2637.8</v>
      </c>
      <c r="H36">
        <v>14</v>
      </c>
      <c r="I36" s="1">
        <f t="shared" si="0"/>
        <v>45812</v>
      </c>
      <c r="J36" s="1">
        <f t="shared" si="1"/>
        <v>45813</v>
      </c>
      <c r="K36" t="s">
        <v>20</v>
      </c>
      <c r="L36">
        <v>1595.18</v>
      </c>
      <c r="M36">
        <v>1660.96</v>
      </c>
      <c r="N36">
        <v>2253.13</v>
      </c>
      <c r="O36">
        <v>1</v>
      </c>
    </row>
    <row r="37" spans="1:15" x14ac:dyDescent="0.3">
      <c r="A37" t="s">
        <v>74</v>
      </c>
      <c r="B37" s="1">
        <v>45799</v>
      </c>
      <c r="C37" t="s">
        <v>16</v>
      </c>
      <c r="D37" t="s">
        <v>23</v>
      </c>
      <c r="E37" t="s">
        <v>24</v>
      </c>
      <c r="F37" t="s">
        <v>25</v>
      </c>
      <c r="G37">
        <v>540.9</v>
      </c>
      <c r="H37">
        <v>6</v>
      </c>
      <c r="I37" s="1">
        <f t="shared" si="0"/>
        <v>45805</v>
      </c>
      <c r="J37" s="1">
        <f t="shared" si="1"/>
        <v>45805</v>
      </c>
      <c r="K37" t="s">
        <v>20</v>
      </c>
      <c r="L37">
        <v>632.9</v>
      </c>
      <c r="M37">
        <v>743.04</v>
      </c>
      <c r="N37">
        <v>1059.1300000000001</v>
      </c>
      <c r="O37">
        <v>0</v>
      </c>
    </row>
    <row r="38" spans="1:15" x14ac:dyDescent="0.3">
      <c r="A38" t="s">
        <v>75</v>
      </c>
      <c r="B38" s="1">
        <v>45800</v>
      </c>
      <c r="C38" t="s">
        <v>31</v>
      </c>
      <c r="D38" t="s">
        <v>42</v>
      </c>
      <c r="E38" t="s">
        <v>24</v>
      </c>
      <c r="F38" t="s">
        <v>25</v>
      </c>
      <c r="G38">
        <v>5924.1</v>
      </c>
      <c r="H38">
        <v>10</v>
      </c>
      <c r="I38" s="1">
        <f t="shared" si="0"/>
        <v>45810</v>
      </c>
      <c r="J38" s="1">
        <f t="shared" si="1"/>
        <v>45810</v>
      </c>
      <c r="K38" t="s">
        <v>20</v>
      </c>
      <c r="L38">
        <v>1164.6199999999999</v>
      </c>
      <c r="M38">
        <v>1362.07</v>
      </c>
      <c r="N38">
        <v>2086.62</v>
      </c>
      <c r="O38">
        <v>0</v>
      </c>
    </row>
    <row r="39" spans="1:15" x14ac:dyDescent="0.3">
      <c r="A39" t="s">
        <v>76</v>
      </c>
      <c r="B39" s="1">
        <v>45801</v>
      </c>
      <c r="C39" t="s">
        <v>38</v>
      </c>
      <c r="D39" t="s">
        <v>64</v>
      </c>
      <c r="E39" t="s">
        <v>18</v>
      </c>
      <c r="F39" t="s">
        <v>19</v>
      </c>
      <c r="G39">
        <v>999.3</v>
      </c>
      <c r="H39">
        <v>2</v>
      </c>
      <c r="I39" s="1">
        <f t="shared" si="0"/>
        <v>45803</v>
      </c>
      <c r="J39" s="1">
        <f t="shared" si="1"/>
        <v>45803</v>
      </c>
      <c r="K39" t="s">
        <v>20</v>
      </c>
      <c r="L39">
        <v>569.54999999999995</v>
      </c>
      <c r="M39">
        <v>715.4</v>
      </c>
      <c r="N39">
        <v>688.13</v>
      </c>
      <c r="O39">
        <v>0</v>
      </c>
    </row>
    <row r="40" spans="1:15" x14ac:dyDescent="0.3">
      <c r="A40" t="s">
        <v>77</v>
      </c>
      <c r="B40" s="1">
        <v>45802</v>
      </c>
      <c r="C40" t="s">
        <v>22</v>
      </c>
      <c r="D40" t="s">
        <v>40</v>
      </c>
      <c r="E40" t="s">
        <v>24</v>
      </c>
      <c r="F40" t="s">
        <v>19</v>
      </c>
      <c r="G40">
        <v>3829.9</v>
      </c>
      <c r="H40">
        <v>12</v>
      </c>
      <c r="I40" s="1">
        <f t="shared" si="0"/>
        <v>45814</v>
      </c>
      <c r="J40" s="1">
        <f t="shared" si="1"/>
        <v>45821</v>
      </c>
      <c r="K40" t="s">
        <v>20</v>
      </c>
      <c r="L40">
        <v>1274.4000000000001</v>
      </c>
      <c r="M40">
        <v>1303.3900000000001</v>
      </c>
      <c r="N40">
        <v>1755.21</v>
      </c>
      <c r="O40">
        <v>7</v>
      </c>
    </row>
    <row r="41" spans="1:15" x14ac:dyDescent="0.3">
      <c r="A41" t="s">
        <v>78</v>
      </c>
      <c r="B41" s="1">
        <v>45803</v>
      </c>
      <c r="C41" t="s">
        <v>44</v>
      </c>
      <c r="D41" t="s">
        <v>45</v>
      </c>
      <c r="E41" t="s">
        <v>18</v>
      </c>
      <c r="F41" t="s">
        <v>25</v>
      </c>
      <c r="G41">
        <v>4064.8</v>
      </c>
      <c r="H41">
        <v>2</v>
      </c>
      <c r="I41" s="1">
        <f t="shared" si="0"/>
        <v>45805</v>
      </c>
      <c r="J41" s="1">
        <f t="shared" si="1"/>
        <v>45805</v>
      </c>
      <c r="K41" t="s">
        <v>20</v>
      </c>
      <c r="L41">
        <v>673.19</v>
      </c>
      <c r="M41">
        <v>691.53</v>
      </c>
      <c r="N41">
        <v>968.39</v>
      </c>
      <c r="O41">
        <v>0</v>
      </c>
    </row>
    <row r="42" spans="1:15" x14ac:dyDescent="0.3">
      <c r="A42" t="s">
        <v>79</v>
      </c>
      <c r="B42" s="1">
        <v>45804</v>
      </c>
      <c r="C42" t="s">
        <v>38</v>
      </c>
      <c r="D42" t="s">
        <v>45</v>
      </c>
      <c r="E42" t="s">
        <v>18</v>
      </c>
      <c r="F42" t="s">
        <v>25</v>
      </c>
      <c r="G42">
        <v>7526.6</v>
      </c>
      <c r="H42">
        <v>2</v>
      </c>
      <c r="I42" s="1">
        <f t="shared" si="0"/>
        <v>45806</v>
      </c>
      <c r="J42" s="1">
        <f t="shared" si="1"/>
        <v>45806</v>
      </c>
      <c r="K42" t="s">
        <v>20</v>
      </c>
      <c r="L42">
        <v>759.35</v>
      </c>
      <c r="M42">
        <v>929.25</v>
      </c>
      <c r="N42">
        <v>1231</v>
      </c>
      <c r="O42">
        <v>0</v>
      </c>
    </row>
    <row r="43" spans="1:15" x14ac:dyDescent="0.3">
      <c r="A43" t="s">
        <v>80</v>
      </c>
      <c r="B43" s="1">
        <v>45805</v>
      </c>
      <c r="C43" t="s">
        <v>50</v>
      </c>
      <c r="D43" t="s">
        <v>42</v>
      </c>
      <c r="E43" t="s">
        <v>24</v>
      </c>
      <c r="F43" t="s">
        <v>19</v>
      </c>
      <c r="G43">
        <v>5239.8</v>
      </c>
      <c r="H43">
        <v>10</v>
      </c>
      <c r="I43" s="1">
        <f t="shared" si="0"/>
        <v>45815</v>
      </c>
      <c r="J43" s="1">
        <f t="shared" si="1"/>
        <v>45815</v>
      </c>
      <c r="K43" t="s">
        <v>20</v>
      </c>
      <c r="L43">
        <v>1380.1</v>
      </c>
      <c r="M43">
        <v>1615.59</v>
      </c>
      <c r="N43">
        <v>2388.12</v>
      </c>
      <c r="O43">
        <v>0</v>
      </c>
    </row>
    <row r="44" spans="1:15" x14ac:dyDescent="0.3">
      <c r="A44" t="s">
        <v>81</v>
      </c>
      <c r="B44" s="1">
        <v>45806</v>
      </c>
      <c r="C44" t="s">
        <v>38</v>
      </c>
      <c r="D44" t="s">
        <v>42</v>
      </c>
      <c r="E44" t="s">
        <v>24</v>
      </c>
      <c r="F44" t="s">
        <v>19</v>
      </c>
      <c r="G44">
        <v>2777.7</v>
      </c>
      <c r="H44">
        <v>10</v>
      </c>
      <c r="I44" s="1">
        <f t="shared" si="0"/>
        <v>45816</v>
      </c>
      <c r="J44" s="1">
        <f t="shared" si="1"/>
        <v>45817</v>
      </c>
      <c r="K44" t="s">
        <v>20</v>
      </c>
      <c r="L44">
        <v>1098.29</v>
      </c>
      <c r="M44">
        <v>1176.3</v>
      </c>
      <c r="N44">
        <v>1673.46</v>
      </c>
      <c r="O44">
        <v>1</v>
      </c>
    </row>
    <row r="45" spans="1:15" x14ac:dyDescent="0.3">
      <c r="A45" t="s">
        <v>82</v>
      </c>
      <c r="B45" s="1">
        <v>45807</v>
      </c>
      <c r="C45" t="s">
        <v>16</v>
      </c>
      <c r="D45" t="s">
        <v>17</v>
      </c>
      <c r="E45" t="s">
        <v>18</v>
      </c>
      <c r="F45" t="s">
        <v>25</v>
      </c>
      <c r="G45">
        <v>4419.8999999999996</v>
      </c>
      <c r="H45">
        <v>3</v>
      </c>
      <c r="I45" s="1">
        <f t="shared" si="0"/>
        <v>45810</v>
      </c>
      <c r="J45" s="1">
        <f t="shared" si="1"/>
        <v>45811</v>
      </c>
      <c r="K45" t="s">
        <v>20</v>
      </c>
      <c r="L45">
        <v>848.35</v>
      </c>
      <c r="M45">
        <v>1040.0999999999999</v>
      </c>
      <c r="N45">
        <v>1483.38</v>
      </c>
      <c r="O45">
        <v>1</v>
      </c>
    </row>
    <row r="46" spans="1:15" x14ac:dyDescent="0.3">
      <c r="A46" t="s">
        <v>83</v>
      </c>
      <c r="B46" s="1">
        <v>45808</v>
      </c>
      <c r="C46" t="s">
        <v>31</v>
      </c>
      <c r="D46" t="s">
        <v>52</v>
      </c>
      <c r="E46" t="s">
        <v>18</v>
      </c>
      <c r="F46" t="s">
        <v>25</v>
      </c>
      <c r="G46">
        <v>1969.7</v>
      </c>
      <c r="H46">
        <v>4</v>
      </c>
      <c r="I46" s="1">
        <f t="shared" si="0"/>
        <v>45812</v>
      </c>
      <c r="J46" s="1">
        <f t="shared" si="1"/>
        <v>45819</v>
      </c>
      <c r="K46" t="s">
        <v>20</v>
      </c>
      <c r="L46">
        <v>965.96</v>
      </c>
      <c r="M46">
        <v>1162.78</v>
      </c>
      <c r="N46">
        <v>1433.56</v>
      </c>
      <c r="O46">
        <v>7</v>
      </c>
    </row>
    <row r="47" spans="1:15" x14ac:dyDescent="0.3">
      <c r="A47" t="s">
        <v>84</v>
      </c>
      <c r="B47" s="1">
        <v>45809</v>
      </c>
      <c r="C47" t="s">
        <v>27</v>
      </c>
      <c r="D47" t="s">
        <v>17</v>
      </c>
      <c r="E47" t="s">
        <v>18</v>
      </c>
      <c r="F47" t="s">
        <v>25</v>
      </c>
      <c r="G47">
        <v>165.8</v>
      </c>
      <c r="H47">
        <v>3</v>
      </c>
      <c r="I47" s="1">
        <f t="shared" si="0"/>
        <v>45812</v>
      </c>
      <c r="J47" s="1">
        <f t="shared" si="1"/>
        <v>45812</v>
      </c>
      <c r="K47" t="s">
        <v>20</v>
      </c>
      <c r="L47">
        <v>692.48</v>
      </c>
      <c r="M47">
        <v>739.31</v>
      </c>
      <c r="N47">
        <v>965.3</v>
      </c>
      <c r="O47">
        <v>0</v>
      </c>
    </row>
    <row r="48" spans="1:15" x14ac:dyDescent="0.3">
      <c r="A48" t="s">
        <v>85</v>
      </c>
      <c r="B48" s="1">
        <v>45810</v>
      </c>
      <c r="C48" t="s">
        <v>44</v>
      </c>
      <c r="D48" t="s">
        <v>28</v>
      </c>
      <c r="E48" t="s">
        <v>29</v>
      </c>
      <c r="F48" t="s">
        <v>25</v>
      </c>
      <c r="G48">
        <v>4851.3</v>
      </c>
      <c r="H48">
        <v>2</v>
      </c>
      <c r="I48" s="1">
        <f t="shared" si="0"/>
        <v>45812</v>
      </c>
      <c r="J48" s="1">
        <f t="shared" si="1"/>
        <v>45813</v>
      </c>
      <c r="K48" t="s">
        <v>20</v>
      </c>
      <c r="L48">
        <v>264.45</v>
      </c>
      <c r="M48">
        <v>365.61</v>
      </c>
      <c r="N48">
        <v>344.86</v>
      </c>
      <c r="O48">
        <v>1</v>
      </c>
    </row>
    <row r="49" spans="1:15" x14ac:dyDescent="0.3">
      <c r="A49" t="s">
        <v>86</v>
      </c>
      <c r="B49" s="1">
        <v>45811</v>
      </c>
      <c r="C49" t="s">
        <v>16</v>
      </c>
      <c r="D49" t="s">
        <v>45</v>
      </c>
      <c r="E49" t="s">
        <v>18</v>
      </c>
      <c r="F49" t="s">
        <v>19</v>
      </c>
      <c r="G49">
        <v>7967.8</v>
      </c>
      <c r="H49">
        <v>2</v>
      </c>
      <c r="I49" s="1">
        <f t="shared" si="0"/>
        <v>45813</v>
      </c>
      <c r="J49" s="1">
        <f t="shared" si="1"/>
        <v>45815</v>
      </c>
      <c r="K49" t="s">
        <v>20</v>
      </c>
      <c r="L49">
        <v>716.3</v>
      </c>
      <c r="M49">
        <v>741.08</v>
      </c>
      <c r="N49">
        <v>1141.04</v>
      </c>
      <c r="O49">
        <v>2</v>
      </c>
    </row>
    <row r="50" spans="1:15" x14ac:dyDescent="0.3">
      <c r="A50" t="s">
        <v>87</v>
      </c>
      <c r="B50" s="1">
        <v>45812</v>
      </c>
      <c r="C50" t="s">
        <v>44</v>
      </c>
      <c r="D50" t="s">
        <v>23</v>
      </c>
      <c r="E50" t="s">
        <v>24</v>
      </c>
      <c r="F50" t="s">
        <v>25</v>
      </c>
      <c r="G50">
        <v>6945.6</v>
      </c>
      <c r="H50">
        <v>6</v>
      </c>
      <c r="I50" s="1">
        <f t="shared" si="0"/>
        <v>45818</v>
      </c>
      <c r="J50" s="1">
        <f t="shared" si="1"/>
        <v>45818</v>
      </c>
      <c r="K50" t="s">
        <v>20</v>
      </c>
      <c r="L50">
        <v>665.09</v>
      </c>
      <c r="M50">
        <v>693.61</v>
      </c>
      <c r="N50">
        <v>1029.8599999999999</v>
      </c>
      <c r="O50">
        <v>0</v>
      </c>
    </row>
    <row r="51" spans="1:15" x14ac:dyDescent="0.3">
      <c r="A51" t="s">
        <v>88</v>
      </c>
      <c r="B51" s="1">
        <v>45813</v>
      </c>
      <c r="C51" t="s">
        <v>34</v>
      </c>
      <c r="D51" t="s">
        <v>52</v>
      </c>
      <c r="E51" t="s">
        <v>18</v>
      </c>
      <c r="F51" t="s">
        <v>25</v>
      </c>
      <c r="G51">
        <v>6517.4</v>
      </c>
      <c r="H51">
        <v>4</v>
      </c>
      <c r="I51" s="1">
        <f t="shared" si="0"/>
        <v>45817</v>
      </c>
      <c r="J51" s="1">
        <f t="shared" si="1"/>
        <v>45817</v>
      </c>
      <c r="K51" t="s">
        <v>20</v>
      </c>
      <c r="L51">
        <v>1010.38</v>
      </c>
      <c r="M51">
        <v>1143.29</v>
      </c>
      <c r="N51">
        <v>1386.91</v>
      </c>
      <c r="O51">
        <v>0</v>
      </c>
    </row>
    <row r="52" spans="1:15" x14ac:dyDescent="0.3">
      <c r="A52" t="s">
        <v>89</v>
      </c>
      <c r="B52" s="1">
        <v>45814</v>
      </c>
      <c r="C52" t="s">
        <v>38</v>
      </c>
      <c r="D52" t="s">
        <v>28</v>
      </c>
      <c r="E52" t="s">
        <v>29</v>
      </c>
      <c r="F52" t="s">
        <v>25</v>
      </c>
      <c r="G52">
        <v>3439.8</v>
      </c>
      <c r="H52">
        <v>2</v>
      </c>
      <c r="I52" s="1">
        <f t="shared" si="0"/>
        <v>45816</v>
      </c>
      <c r="J52" s="1">
        <f t="shared" si="1"/>
        <v>45816</v>
      </c>
      <c r="K52" t="s">
        <v>20</v>
      </c>
      <c r="L52">
        <v>290.86</v>
      </c>
      <c r="M52">
        <v>359.09</v>
      </c>
      <c r="N52">
        <v>438.23</v>
      </c>
      <c r="O52">
        <v>0</v>
      </c>
    </row>
    <row r="53" spans="1:15" x14ac:dyDescent="0.3">
      <c r="A53" t="s">
        <v>90</v>
      </c>
      <c r="B53" s="1">
        <v>45815</v>
      </c>
      <c r="C53" t="s">
        <v>22</v>
      </c>
      <c r="D53" t="s">
        <v>17</v>
      </c>
      <c r="E53" t="s">
        <v>18</v>
      </c>
      <c r="F53" t="s">
        <v>25</v>
      </c>
      <c r="G53">
        <v>6596.5</v>
      </c>
      <c r="H53">
        <v>3</v>
      </c>
      <c r="I53" s="1">
        <f t="shared" si="0"/>
        <v>45818</v>
      </c>
      <c r="J53" s="1">
        <f t="shared" si="1"/>
        <v>45818</v>
      </c>
      <c r="K53" t="s">
        <v>20</v>
      </c>
      <c r="L53">
        <v>717.74</v>
      </c>
      <c r="M53">
        <v>778.56</v>
      </c>
      <c r="N53">
        <v>1075.99</v>
      </c>
      <c r="O53">
        <v>0</v>
      </c>
    </row>
    <row r="54" spans="1:15" x14ac:dyDescent="0.3">
      <c r="A54" t="s">
        <v>91</v>
      </c>
      <c r="B54" s="1">
        <v>45816</v>
      </c>
      <c r="C54" t="s">
        <v>38</v>
      </c>
      <c r="D54" t="s">
        <v>23</v>
      </c>
      <c r="E54" t="s">
        <v>24</v>
      </c>
      <c r="F54" t="s">
        <v>19</v>
      </c>
      <c r="G54">
        <v>7708.7</v>
      </c>
      <c r="H54">
        <v>6</v>
      </c>
      <c r="I54" s="1">
        <f t="shared" si="0"/>
        <v>45822</v>
      </c>
      <c r="J54" s="1">
        <f t="shared" si="1"/>
        <v>45822</v>
      </c>
      <c r="K54" t="s">
        <v>20</v>
      </c>
      <c r="L54">
        <v>791.68</v>
      </c>
      <c r="M54">
        <v>818.01</v>
      </c>
      <c r="N54">
        <v>1013.87</v>
      </c>
      <c r="O54">
        <v>0</v>
      </c>
    </row>
    <row r="55" spans="1:15" x14ac:dyDescent="0.3">
      <c r="A55" t="s">
        <v>92</v>
      </c>
      <c r="B55" s="1">
        <v>45817</v>
      </c>
      <c r="C55" t="s">
        <v>31</v>
      </c>
      <c r="D55" t="s">
        <v>45</v>
      </c>
      <c r="E55" t="s">
        <v>18</v>
      </c>
      <c r="F55" t="s">
        <v>19</v>
      </c>
      <c r="G55">
        <v>1396.4</v>
      </c>
      <c r="H55">
        <v>2</v>
      </c>
      <c r="I55" s="1">
        <f t="shared" si="0"/>
        <v>45819</v>
      </c>
      <c r="J55" s="1">
        <f t="shared" si="1"/>
        <v>45826</v>
      </c>
      <c r="K55" t="s">
        <v>20</v>
      </c>
      <c r="L55">
        <v>516.59</v>
      </c>
      <c r="M55">
        <v>612.70000000000005</v>
      </c>
      <c r="N55">
        <v>675.88</v>
      </c>
      <c r="O55">
        <v>7</v>
      </c>
    </row>
    <row r="56" spans="1:15" x14ac:dyDescent="0.3">
      <c r="A56" t="s">
        <v>93</v>
      </c>
      <c r="B56" s="1">
        <v>45818</v>
      </c>
      <c r="C56" t="s">
        <v>38</v>
      </c>
      <c r="D56" t="s">
        <v>40</v>
      </c>
      <c r="E56" t="s">
        <v>24</v>
      </c>
      <c r="F56" t="s">
        <v>25</v>
      </c>
      <c r="G56">
        <v>538.29999999999995</v>
      </c>
      <c r="H56">
        <v>12</v>
      </c>
      <c r="I56" s="1">
        <f t="shared" si="0"/>
        <v>45830</v>
      </c>
      <c r="J56" s="1">
        <f t="shared" si="1"/>
        <v>45830</v>
      </c>
      <c r="K56" t="s">
        <v>20</v>
      </c>
      <c r="L56">
        <v>1748.01</v>
      </c>
      <c r="M56">
        <v>1835.68</v>
      </c>
      <c r="N56">
        <v>2753.64</v>
      </c>
      <c r="O56">
        <v>0</v>
      </c>
    </row>
    <row r="57" spans="1:15" x14ac:dyDescent="0.3">
      <c r="A57" t="s">
        <v>94</v>
      </c>
      <c r="B57" s="1">
        <v>45819</v>
      </c>
      <c r="C57" t="s">
        <v>16</v>
      </c>
      <c r="D57" t="s">
        <v>52</v>
      </c>
      <c r="E57" t="s">
        <v>18</v>
      </c>
      <c r="F57" t="s">
        <v>25</v>
      </c>
      <c r="G57">
        <v>695.7</v>
      </c>
      <c r="H57">
        <v>4</v>
      </c>
      <c r="I57" s="1">
        <f t="shared" si="0"/>
        <v>45823</v>
      </c>
      <c r="J57" s="1">
        <f t="shared" si="1"/>
        <v>45823</v>
      </c>
      <c r="K57" t="s">
        <v>20</v>
      </c>
      <c r="L57">
        <v>1069.26</v>
      </c>
      <c r="M57">
        <v>1197.07</v>
      </c>
      <c r="N57">
        <v>1600.76</v>
      </c>
      <c r="O57">
        <v>0</v>
      </c>
    </row>
    <row r="58" spans="1:15" x14ac:dyDescent="0.3">
      <c r="A58" t="s">
        <v>95</v>
      </c>
      <c r="B58" s="1">
        <v>45820</v>
      </c>
      <c r="C58" t="s">
        <v>44</v>
      </c>
      <c r="D58" t="s">
        <v>64</v>
      </c>
      <c r="E58" t="s">
        <v>18</v>
      </c>
      <c r="F58" t="s">
        <v>25</v>
      </c>
      <c r="G58">
        <v>683.5</v>
      </c>
      <c r="H58">
        <v>2</v>
      </c>
      <c r="I58" s="1">
        <f t="shared" si="0"/>
        <v>45822</v>
      </c>
      <c r="J58" s="1">
        <f t="shared" si="1"/>
        <v>45822</v>
      </c>
      <c r="K58" t="s">
        <v>20</v>
      </c>
      <c r="L58">
        <v>531.91999999999996</v>
      </c>
      <c r="M58">
        <v>668.86</v>
      </c>
      <c r="N58">
        <v>714.58</v>
      </c>
      <c r="O58">
        <v>0</v>
      </c>
    </row>
    <row r="59" spans="1:15" x14ac:dyDescent="0.3">
      <c r="A59" t="s">
        <v>96</v>
      </c>
      <c r="B59" s="1">
        <v>45821</v>
      </c>
      <c r="C59" t="s">
        <v>31</v>
      </c>
      <c r="D59" t="s">
        <v>23</v>
      </c>
      <c r="E59" t="s">
        <v>24</v>
      </c>
      <c r="F59" t="s">
        <v>25</v>
      </c>
      <c r="G59">
        <v>1385.5</v>
      </c>
      <c r="H59">
        <v>6</v>
      </c>
      <c r="I59" s="1">
        <f t="shared" si="0"/>
        <v>45827</v>
      </c>
      <c r="J59" s="1">
        <f t="shared" si="1"/>
        <v>45827</v>
      </c>
      <c r="K59" t="s">
        <v>20</v>
      </c>
      <c r="L59">
        <v>770.8</v>
      </c>
      <c r="M59">
        <v>901.25</v>
      </c>
      <c r="N59">
        <v>1235.29</v>
      </c>
      <c r="O59">
        <v>0</v>
      </c>
    </row>
    <row r="60" spans="1:15" x14ac:dyDescent="0.3">
      <c r="A60" t="s">
        <v>97</v>
      </c>
      <c r="B60" s="1">
        <v>45822</v>
      </c>
      <c r="C60" t="s">
        <v>27</v>
      </c>
      <c r="D60" t="s">
        <v>64</v>
      </c>
      <c r="E60" t="s">
        <v>18</v>
      </c>
      <c r="F60" t="s">
        <v>25</v>
      </c>
      <c r="G60">
        <v>6749.6</v>
      </c>
      <c r="H60">
        <v>2</v>
      </c>
      <c r="I60" s="1">
        <f t="shared" si="0"/>
        <v>45824</v>
      </c>
      <c r="J60" s="1">
        <f t="shared" si="1"/>
        <v>45831</v>
      </c>
      <c r="K60" t="s">
        <v>20</v>
      </c>
      <c r="L60">
        <v>468.55</v>
      </c>
      <c r="M60">
        <v>522.46</v>
      </c>
      <c r="N60">
        <v>803.53</v>
      </c>
      <c r="O60">
        <v>7</v>
      </c>
    </row>
    <row r="61" spans="1:15" x14ac:dyDescent="0.3">
      <c r="A61" t="s">
        <v>98</v>
      </c>
      <c r="B61" s="1">
        <v>45823</v>
      </c>
      <c r="C61" t="s">
        <v>27</v>
      </c>
      <c r="D61" t="s">
        <v>42</v>
      </c>
      <c r="E61" t="s">
        <v>24</v>
      </c>
      <c r="F61" t="s">
        <v>25</v>
      </c>
      <c r="G61">
        <v>7997.8</v>
      </c>
      <c r="H61">
        <v>10</v>
      </c>
      <c r="I61" s="1">
        <f t="shared" si="0"/>
        <v>45833</v>
      </c>
      <c r="J61" s="1">
        <f t="shared" si="1"/>
        <v>45833</v>
      </c>
      <c r="K61" t="s">
        <v>20</v>
      </c>
      <c r="L61">
        <v>1064.1199999999999</v>
      </c>
      <c r="M61">
        <v>1138.23</v>
      </c>
      <c r="N61">
        <v>1620.07</v>
      </c>
      <c r="O61">
        <v>0</v>
      </c>
    </row>
    <row r="62" spans="1:15" x14ac:dyDescent="0.3">
      <c r="A62" t="s">
        <v>99</v>
      </c>
      <c r="B62" s="1">
        <v>45824</v>
      </c>
      <c r="C62" t="s">
        <v>44</v>
      </c>
      <c r="D62" t="s">
        <v>45</v>
      </c>
      <c r="E62" t="s">
        <v>18</v>
      </c>
      <c r="F62" t="s">
        <v>19</v>
      </c>
      <c r="G62">
        <v>2071.4</v>
      </c>
      <c r="H62">
        <v>2</v>
      </c>
      <c r="I62" s="1">
        <f t="shared" si="0"/>
        <v>45826</v>
      </c>
      <c r="J62" s="1">
        <f t="shared" si="1"/>
        <v>45831</v>
      </c>
      <c r="K62" t="s">
        <v>20</v>
      </c>
      <c r="L62">
        <v>733.05</v>
      </c>
      <c r="M62">
        <v>896.72</v>
      </c>
      <c r="N62">
        <v>956.94</v>
      </c>
      <c r="O62">
        <v>5</v>
      </c>
    </row>
    <row r="63" spans="1:15" x14ac:dyDescent="0.3">
      <c r="A63" t="s">
        <v>100</v>
      </c>
      <c r="B63" s="1">
        <v>45825</v>
      </c>
      <c r="C63" t="s">
        <v>22</v>
      </c>
      <c r="D63" t="s">
        <v>32</v>
      </c>
      <c r="E63" t="s">
        <v>24</v>
      </c>
      <c r="F63" t="s">
        <v>19</v>
      </c>
      <c r="G63">
        <v>6664.5</v>
      </c>
      <c r="H63">
        <v>14</v>
      </c>
      <c r="I63" s="1">
        <f t="shared" si="0"/>
        <v>45839</v>
      </c>
      <c r="J63" s="1">
        <f t="shared" si="1"/>
        <v>45839</v>
      </c>
      <c r="K63" t="s">
        <v>20</v>
      </c>
      <c r="L63">
        <v>1574.54</v>
      </c>
      <c r="M63">
        <v>1775.21</v>
      </c>
      <c r="N63">
        <v>2379.65</v>
      </c>
      <c r="O63">
        <v>0</v>
      </c>
    </row>
    <row r="64" spans="1:15" x14ac:dyDescent="0.3">
      <c r="A64" t="s">
        <v>101</v>
      </c>
      <c r="B64" s="1">
        <v>45826</v>
      </c>
      <c r="C64" t="s">
        <v>22</v>
      </c>
      <c r="D64" t="s">
        <v>40</v>
      </c>
      <c r="E64" t="s">
        <v>24</v>
      </c>
      <c r="F64" t="s">
        <v>19</v>
      </c>
      <c r="G64">
        <v>5656.3</v>
      </c>
      <c r="H64">
        <v>12</v>
      </c>
      <c r="I64" s="1">
        <f t="shared" si="0"/>
        <v>45838</v>
      </c>
      <c r="J64" s="1">
        <f t="shared" si="1"/>
        <v>45838</v>
      </c>
      <c r="K64" t="s">
        <v>20</v>
      </c>
      <c r="L64">
        <v>1732.02</v>
      </c>
      <c r="M64">
        <v>1953.47</v>
      </c>
      <c r="N64">
        <v>2626.34</v>
      </c>
      <c r="O64">
        <v>0</v>
      </c>
    </row>
    <row r="65" spans="1:15" x14ac:dyDescent="0.3">
      <c r="A65" t="s">
        <v>102</v>
      </c>
      <c r="B65" s="1">
        <v>45827</v>
      </c>
      <c r="C65" t="s">
        <v>31</v>
      </c>
      <c r="D65" t="s">
        <v>64</v>
      </c>
      <c r="E65" t="s">
        <v>18</v>
      </c>
      <c r="F65" t="s">
        <v>25</v>
      </c>
      <c r="G65">
        <v>5833.1</v>
      </c>
      <c r="H65">
        <v>2</v>
      </c>
      <c r="I65" s="1">
        <f t="shared" si="0"/>
        <v>45829</v>
      </c>
      <c r="J65" s="1">
        <f t="shared" si="1"/>
        <v>45836</v>
      </c>
      <c r="K65" t="s">
        <v>20</v>
      </c>
      <c r="L65">
        <v>579.77</v>
      </c>
      <c r="M65">
        <v>650.41999999999996</v>
      </c>
      <c r="N65">
        <v>771.66</v>
      </c>
      <c r="O65">
        <v>7</v>
      </c>
    </row>
    <row r="66" spans="1:15" x14ac:dyDescent="0.3">
      <c r="A66" t="s">
        <v>103</v>
      </c>
      <c r="B66" s="1">
        <v>45828</v>
      </c>
      <c r="C66" t="s">
        <v>31</v>
      </c>
      <c r="D66" t="s">
        <v>40</v>
      </c>
      <c r="E66" t="s">
        <v>24</v>
      </c>
      <c r="F66" t="s">
        <v>25</v>
      </c>
      <c r="G66">
        <v>6749.4</v>
      </c>
      <c r="H66">
        <v>12</v>
      </c>
      <c r="I66" s="1">
        <f t="shared" si="0"/>
        <v>45840</v>
      </c>
      <c r="J66" s="1">
        <f t="shared" si="1"/>
        <v>45841</v>
      </c>
      <c r="K66" t="s">
        <v>20</v>
      </c>
      <c r="L66">
        <v>1722.69</v>
      </c>
      <c r="M66">
        <v>2058.86</v>
      </c>
      <c r="N66">
        <v>2692.64</v>
      </c>
      <c r="O66">
        <v>1</v>
      </c>
    </row>
    <row r="67" spans="1:15" x14ac:dyDescent="0.3">
      <c r="A67" t="s">
        <v>104</v>
      </c>
      <c r="B67" s="1">
        <v>45829</v>
      </c>
      <c r="C67" t="s">
        <v>31</v>
      </c>
      <c r="D67" t="s">
        <v>32</v>
      </c>
      <c r="E67" t="s">
        <v>24</v>
      </c>
      <c r="F67" t="s">
        <v>25</v>
      </c>
      <c r="G67">
        <v>2785.2</v>
      </c>
      <c r="H67">
        <v>14</v>
      </c>
      <c r="I67" s="1">
        <f t="shared" ref="I67:I130" si="2">B67+H67</f>
        <v>45843</v>
      </c>
      <c r="J67" s="1">
        <f t="shared" ref="J67:J130" si="3">IF(O67="","",I67+O67)</f>
        <v>45850</v>
      </c>
      <c r="K67" t="s">
        <v>20</v>
      </c>
      <c r="L67">
        <v>1890.1</v>
      </c>
      <c r="M67">
        <v>2027.33</v>
      </c>
      <c r="N67">
        <v>2801.48</v>
      </c>
      <c r="O67">
        <v>7</v>
      </c>
    </row>
    <row r="68" spans="1:15" x14ac:dyDescent="0.3">
      <c r="A68" t="s">
        <v>105</v>
      </c>
      <c r="B68" s="1">
        <v>45830</v>
      </c>
      <c r="C68" t="s">
        <v>44</v>
      </c>
      <c r="D68" t="s">
        <v>17</v>
      </c>
      <c r="E68" t="s">
        <v>18</v>
      </c>
      <c r="F68" t="s">
        <v>25</v>
      </c>
      <c r="G68">
        <v>7182.6</v>
      </c>
      <c r="H68">
        <v>3</v>
      </c>
      <c r="I68" s="1">
        <f t="shared" si="2"/>
        <v>45833</v>
      </c>
      <c r="J68" s="1">
        <f t="shared" si="3"/>
        <v>45833</v>
      </c>
      <c r="K68" t="s">
        <v>20</v>
      </c>
      <c r="L68">
        <v>790.9</v>
      </c>
      <c r="M68">
        <v>869.51</v>
      </c>
      <c r="N68">
        <v>1068.6300000000001</v>
      </c>
      <c r="O68">
        <v>0</v>
      </c>
    </row>
    <row r="69" spans="1:15" x14ac:dyDescent="0.3">
      <c r="A69" t="s">
        <v>106</v>
      </c>
      <c r="B69" s="1">
        <v>45831</v>
      </c>
      <c r="C69" t="s">
        <v>38</v>
      </c>
      <c r="D69" t="s">
        <v>42</v>
      </c>
      <c r="E69" t="s">
        <v>24</v>
      </c>
      <c r="F69" t="s">
        <v>19</v>
      </c>
      <c r="G69">
        <v>782.5</v>
      </c>
      <c r="H69">
        <v>10</v>
      </c>
      <c r="I69" s="1">
        <f t="shared" si="2"/>
        <v>45841</v>
      </c>
      <c r="J69" s="1">
        <f t="shared" si="3"/>
        <v>45841</v>
      </c>
      <c r="K69" t="s">
        <v>20</v>
      </c>
      <c r="L69">
        <v>1544.14</v>
      </c>
      <c r="M69">
        <v>1660.28</v>
      </c>
      <c r="N69">
        <v>2026.88</v>
      </c>
      <c r="O69">
        <v>0</v>
      </c>
    </row>
    <row r="70" spans="1:15" x14ac:dyDescent="0.3">
      <c r="A70" t="s">
        <v>107</v>
      </c>
      <c r="B70" s="1">
        <v>45832</v>
      </c>
      <c r="C70" t="s">
        <v>16</v>
      </c>
      <c r="D70" t="s">
        <v>28</v>
      </c>
      <c r="E70" t="s">
        <v>29</v>
      </c>
      <c r="F70" t="s">
        <v>25</v>
      </c>
      <c r="G70">
        <v>3890.7</v>
      </c>
      <c r="H70">
        <v>2</v>
      </c>
      <c r="I70" s="1">
        <f t="shared" si="2"/>
        <v>45834</v>
      </c>
      <c r="J70" s="1">
        <f t="shared" si="3"/>
        <v>45834</v>
      </c>
      <c r="K70" t="s">
        <v>20</v>
      </c>
      <c r="L70">
        <v>266.89999999999998</v>
      </c>
      <c r="M70">
        <v>301.72000000000003</v>
      </c>
      <c r="N70">
        <v>358.12</v>
      </c>
      <c r="O70">
        <v>0</v>
      </c>
    </row>
    <row r="71" spans="1:15" x14ac:dyDescent="0.3">
      <c r="A71" t="s">
        <v>108</v>
      </c>
      <c r="B71" s="1">
        <v>45833</v>
      </c>
      <c r="C71" t="s">
        <v>22</v>
      </c>
      <c r="D71" t="s">
        <v>52</v>
      </c>
      <c r="E71" t="s">
        <v>18</v>
      </c>
      <c r="F71" t="s">
        <v>25</v>
      </c>
      <c r="G71">
        <v>4810.3999999999996</v>
      </c>
      <c r="H71">
        <v>4</v>
      </c>
      <c r="I71" s="1">
        <f t="shared" si="2"/>
        <v>45837</v>
      </c>
      <c r="J71" s="1">
        <f t="shared" si="3"/>
        <v>45842</v>
      </c>
      <c r="K71" t="s">
        <v>20</v>
      </c>
      <c r="L71">
        <v>810.94</v>
      </c>
      <c r="M71">
        <v>863.08</v>
      </c>
      <c r="N71">
        <v>1021.72</v>
      </c>
      <c r="O71">
        <v>5</v>
      </c>
    </row>
    <row r="72" spans="1:15" x14ac:dyDescent="0.3">
      <c r="A72" t="s">
        <v>109</v>
      </c>
      <c r="B72" s="1">
        <v>45834</v>
      </c>
      <c r="C72" t="s">
        <v>22</v>
      </c>
      <c r="D72" t="s">
        <v>52</v>
      </c>
      <c r="E72" t="s">
        <v>18</v>
      </c>
      <c r="F72" t="s">
        <v>19</v>
      </c>
      <c r="G72">
        <v>1250.0999999999999</v>
      </c>
      <c r="H72">
        <v>4</v>
      </c>
      <c r="I72" s="1">
        <f t="shared" si="2"/>
        <v>45838</v>
      </c>
      <c r="J72" s="1">
        <f t="shared" si="3"/>
        <v>45838</v>
      </c>
      <c r="K72" t="s">
        <v>20</v>
      </c>
      <c r="L72">
        <v>946.69</v>
      </c>
      <c r="M72">
        <v>1110.69</v>
      </c>
      <c r="N72">
        <v>1216.8599999999999</v>
      </c>
      <c r="O72">
        <v>0</v>
      </c>
    </row>
    <row r="73" spans="1:15" x14ac:dyDescent="0.3">
      <c r="A73" t="s">
        <v>110</v>
      </c>
      <c r="B73" s="1">
        <v>45835</v>
      </c>
      <c r="C73" t="s">
        <v>44</v>
      </c>
      <c r="D73" t="s">
        <v>23</v>
      </c>
      <c r="E73" t="s">
        <v>24</v>
      </c>
      <c r="F73" t="s">
        <v>19</v>
      </c>
      <c r="G73">
        <v>2000.4</v>
      </c>
      <c r="H73">
        <v>6</v>
      </c>
      <c r="I73" s="1">
        <f t="shared" si="2"/>
        <v>45841</v>
      </c>
      <c r="J73" s="1">
        <f t="shared" si="3"/>
        <v>45843</v>
      </c>
      <c r="K73" t="s">
        <v>20</v>
      </c>
      <c r="L73">
        <v>634.70000000000005</v>
      </c>
      <c r="M73">
        <v>855.46</v>
      </c>
      <c r="N73">
        <v>1002.46</v>
      </c>
      <c r="O73">
        <v>2</v>
      </c>
    </row>
    <row r="74" spans="1:15" x14ac:dyDescent="0.3">
      <c r="A74" t="s">
        <v>111</v>
      </c>
      <c r="B74" s="1">
        <v>45836</v>
      </c>
      <c r="C74" t="s">
        <v>16</v>
      </c>
      <c r="D74" t="s">
        <v>45</v>
      </c>
      <c r="E74" t="s">
        <v>18</v>
      </c>
      <c r="F74" t="s">
        <v>25</v>
      </c>
      <c r="G74">
        <v>7133</v>
      </c>
      <c r="H74">
        <v>2</v>
      </c>
      <c r="I74" s="1">
        <f t="shared" si="2"/>
        <v>45838</v>
      </c>
      <c r="J74" s="1">
        <f t="shared" si="3"/>
        <v>45838</v>
      </c>
      <c r="K74" t="s">
        <v>20</v>
      </c>
      <c r="L74">
        <v>730.56</v>
      </c>
      <c r="M74">
        <v>875.6</v>
      </c>
      <c r="N74">
        <v>905.13</v>
      </c>
      <c r="O74">
        <v>0</v>
      </c>
    </row>
    <row r="75" spans="1:15" x14ac:dyDescent="0.3">
      <c r="A75" t="s">
        <v>112</v>
      </c>
      <c r="B75" s="1">
        <v>45837</v>
      </c>
      <c r="C75" t="s">
        <v>34</v>
      </c>
      <c r="D75" t="s">
        <v>32</v>
      </c>
      <c r="E75" t="s">
        <v>24</v>
      </c>
      <c r="F75" t="s">
        <v>25</v>
      </c>
      <c r="G75">
        <v>5983.9</v>
      </c>
      <c r="H75">
        <v>14</v>
      </c>
      <c r="I75" s="1">
        <f t="shared" si="2"/>
        <v>45851</v>
      </c>
      <c r="J75" s="1">
        <f t="shared" si="3"/>
        <v>45852</v>
      </c>
      <c r="K75" t="s">
        <v>20</v>
      </c>
      <c r="L75">
        <v>1879.25</v>
      </c>
      <c r="M75">
        <v>2212.4899999999998</v>
      </c>
      <c r="N75">
        <v>2897.55</v>
      </c>
      <c r="O75">
        <v>1</v>
      </c>
    </row>
    <row r="76" spans="1:15" x14ac:dyDescent="0.3">
      <c r="A76" t="s">
        <v>113</v>
      </c>
      <c r="B76" s="1">
        <v>45838</v>
      </c>
      <c r="C76" t="s">
        <v>34</v>
      </c>
      <c r="D76" t="s">
        <v>23</v>
      </c>
      <c r="E76" t="s">
        <v>24</v>
      </c>
      <c r="F76" t="s">
        <v>19</v>
      </c>
      <c r="G76">
        <v>4877.7</v>
      </c>
      <c r="H76">
        <v>6</v>
      </c>
      <c r="I76" s="1">
        <f t="shared" si="2"/>
        <v>45844</v>
      </c>
      <c r="J76" s="1">
        <f t="shared" si="3"/>
        <v>45844</v>
      </c>
      <c r="K76" t="s">
        <v>20</v>
      </c>
      <c r="L76">
        <v>850.72</v>
      </c>
      <c r="M76">
        <v>945.42</v>
      </c>
      <c r="N76">
        <v>1460.31</v>
      </c>
      <c r="O76">
        <v>0</v>
      </c>
    </row>
    <row r="77" spans="1:15" x14ac:dyDescent="0.3">
      <c r="A77" t="s">
        <v>114</v>
      </c>
      <c r="B77" s="1">
        <v>45839</v>
      </c>
      <c r="C77" t="s">
        <v>38</v>
      </c>
      <c r="D77" t="s">
        <v>64</v>
      </c>
      <c r="E77" t="s">
        <v>18</v>
      </c>
      <c r="F77" t="s">
        <v>25</v>
      </c>
      <c r="G77">
        <v>1453.1</v>
      </c>
      <c r="H77">
        <v>2</v>
      </c>
      <c r="I77" s="1">
        <f t="shared" si="2"/>
        <v>45841</v>
      </c>
      <c r="J77" s="1">
        <f t="shared" si="3"/>
        <v>45841</v>
      </c>
      <c r="K77" t="s">
        <v>20</v>
      </c>
      <c r="L77">
        <v>550.54</v>
      </c>
      <c r="M77">
        <v>756.49</v>
      </c>
      <c r="N77">
        <v>804.55</v>
      </c>
      <c r="O77">
        <v>0</v>
      </c>
    </row>
    <row r="78" spans="1:15" x14ac:dyDescent="0.3">
      <c r="A78" t="s">
        <v>115</v>
      </c>
      <c r="B78" s="1">
        <v>45840</v>
      </c>
      <c r="C78" t="s">
        <v>50</v>
      </c>
      <c r="D78" t="s">
        <v>17</v>
      </c>
      <c r="E78" t="s">
        <v>18</v>
      </c>
      <c r="F78" t="s">
        <v>25</v>
      </c>
      <c r="G78">
        <v>7758.2</v>
      </c>
      <c r="H78">
        <v>3</v>
      </c>
      <c r="I78" s="1">
        <f t="shared" si="2"/>
        <v>45843</v>
      </c>
      <c r="J78" s="1">
        <f t="shared" si="3"/>
        <v>45843</v>
      </c>
      <c r="K78" t="s">
        <v>20</v>
      </c>
      <c r="L78">
        <v>790.68</v>
      </c>
      <c r="M78">
        <v>1052.6500000000001</v>
      </c>
      <c r="N78">
        <v>1220.98</v>
      </c>
      <c r="O78">
        <v>0</v>
      </c>
    </row>
    <row r="79" spans="1:15" x14ac:dyDescent="0.3">
      <c r="A79" t="s">
        <v>116</v>
      </c>
      <c r="B79" s="1">
        <v>45841</v>
      </c>
      <c r="C79" t="s">
        <v>22</v>
      </c>
      <c r="D79" t="s">
        <v>64</v>
      </c>
      <c r="E79" t="s">
        <v>18</v>
      </c>
      <c r="F79" t="s">
        <v>25</v>
      </c>
      <c r="G79">
        <v>2297.4</v>
      </c>
      <c r="H79">
        <v>2</v>
      </c>
      <c r="I79" s="1">
        <f t="shared" si="2"/>
        <v>45843</v>
      </c>
      <c r="J79" s="1">
        <f t="shared" si="3"/>
        <v>45843</v>
      </c>
      <c r="K79" t="s">
        <v>20</v>
      </c>
      <c r="L79">
        <v>594.48</v>
      </c>
      <c r="M79">
        <v>694.77</v>
      </c>
      <c r="N79">
        <v>957.84</v>
      </c>
      <c r="O79">
        <v>0</v>
      </c>
    </row>
    <row r="80" spans="1:15" x14ac:dyDescent="0.3">
      <c r="A80" t="s">
        <v>117</v>
      </c>
      <c r="B80" s="1">
        <v>45842</v>
      </c>
      <c r="C80" t="s">
        <v>34</v>
      </c>
      <c r="D80" t="s">
        <v>64</v>
      </c>
      <c r="E80" t="s">
        <v>18</v>
      </c>
      <c r="F80" t="s">
        <v>19</v>
      </c>
      <c r="G80">
        <v>4916.1000000000004</v>
      </c>
      <c r="H80">
        <v>2</v>
      </c>
      <c r="I80" s="1">
        <f t="shared" si="2"/>
        <v>45844</v>
      </c>
      <c r="J80" s="1">
        <f t="shared" si="3"/>
        <v>45845</v>
      </c>
      <c r="K80" t="s">
        <v>20</v>
      </c>
      <c r="L80">
        <v>480.48</v>
      </c>
      <c r="M80">
        <v>586.69000000000005</v>
      </c>
      <c r="N80">
        <v>653.80999999999995</v>
      </c>
      <c r="O80">
        <v>1</v>
      </c>
    </row>
    <row r="81" spans="1:18" x14ac:dyDescent="0.3">
      <c r="A81" t="s">
        <v>118</v>
      </c>
      <c r="B81" s="1">
        <v>45843</v>
      </c>
      <c r="C81" t="s">
        <v>22</v>
      </c>
      <c r="D81" t="s">
        <v>45</v>
      </c>
      <c r="E81" t="s">
        <v>18</v>
      </c>
      <c r="F81" t="s">
        <v>19</v>
      </c>
      <c r="G81">
        <v>1144.5999999999999</v>
      </c>
      <c r="H81">
        <v>2</v>
      </c>
      <c r="I81" s="1">
        <f t="shared" si="2"/>
        <v>45845</v>
      </c>
      <c r="J81" s="1">
        <f t="shared" si="3"/>
        <v>45850</v>
      </c>
      <c r="K81" t="s">
        <v>20</v>
      </c>
      <c r="L81">
        <v>585.46</v>
      </c>
      <c r="M81">
        <v>772.8</v>
      </c>
      <c r="N81">
        <v>838.61</v>
      </c>
      <c r="O81">
        <v>5</v>
      </c>
      <c r="R81">
        <f>COUNTBLANK(B2:B301)</f>
        <v>0</v>
      </c>
    </row>
    <row r="82" spans="1:18" x14ac:dyDescent="0.3">
      <c r="A82" t="s">
        <v>119</v>
      </c>
      <c r="B82" s="1">
        <v>45844</v>
      </c>
      <c r="C82" t="s">
        <v>38</v>
      </c>
      <c r="D82" t="s">
        <v>42</v>
      </c>
      <c r="E82" t="s">
        <v>24</v>
      </c>
      <c r="F82" t="s">
        <v>25</v>
      </c>
      <c r="G82">
        <v>3827.5</v>
      </c>
      <c r="H82">
        <v>10</v>
      </c>
      <c r="I82" s="1">
        <f t="shared" si="2"/>
        <v>45854</v>
      </c>
      <c r="J82" s="1">
        <f t="shared" si="3"/>
        <v>45857</v>
      </c>
      <c r="K82" t="s">
        <v>20</v>
      </c>
      <c r="L82">
        <v>1207.26</v>
      </c>
      <c r="M82">
        <v>1363.04</v>
      </c>
      <c r="N82">
        <v>1631.12</v>
      </c>
      <c r="O82">
        <v>3</v>
      </c>
    </row>
    <row r="83" spans="1:18" x14ac:dyDescent="0.3">
      <c r="A83" t="s">
        <v>120</v>
      </c>
      <c r="B83" s="1">
        <v>45845</v>
      </c>
      <c r="C83" t="s">
        <v>22</v>
      </c>
      <c r="D83" t="s">
        <v>23</v>
      </c>
      <c r="E83" t="s">
        <v>24</v>
      </c>
      <c r="F83" t="s">
        <v>19</v>
      </c>
      <c r="G83">
        <v>7928.2</v>
      </c>
      <c r="H83">
        <v>6</v>
      </c>
      <c r="I83" s="1">
        <f t="shared" si="2"/>
        <v>45851</v>
      </c>
      <c r="J83" s="1">
        <f t="shared" si="3"/>
        <v>45856</v>
      </c>
      <c r="K83" t="s">
        <v>20</v>
      </c>
      <c r="L83">
        <v>915.55</v>
      </c>
      <c r="M83">
        <v>1195.22</v>
      </c>
      <c r="N83">
        <v>1637.75</v>
      </c>
      <c r="O83">
        <v>5</v>
      </c>
      <c r="R83">
        <f>COUNTBLANK(I2:I301)</f>
        <v>0</v>
      </c>
    </row>
    <row r="84" spans="1:18" x14ac:dyDescent="0.3">
      <c r="A84" t="s">
        <v>121</v>
      </c>
      <c r="B84" s="1">
        <v>45846</v>
      </c>
      <c r="C84" t="s">
        <v>50</v>
      </c>
      <c r="D84" t="s">
        <v>23</v>
      </c>
      <c r="E84" t="s">
        <v>24</v>
      </c>
      <c r="F84" t="s">
        <v>19</v>
      </c>
      <c r="G84">
        <v>1676.9</v>
      </c>
      <c r="H84">
        <v>6</v>
      </c>
      <c r="I84" s="1">
        <f t="shared" si="2"/>
        <v>45852</v>
      </c>
      <c r="J84" s="1">
        <f t="shared" si="3"/>
        <v>45854</v>
      </c>
      <c r="K84" t="s">
        <v>20</v>
      </c>
      <c r="L84">
        <v>825.64</v>
      </c>
      <c r="M84">
        <v>953.36</v>
      </c>
      <c r="N84">
        <v>1399.64</v>
      </c>
      <c r="O84">
        <v>2</v>
      </c>
    </row>
    <row r="85" spans="1:18" x14ac:dyDescent="0.3">
      <c r="A85" t="s">
        <v>122</v>
      </c>
      <c r="B85" s="1">
        <v>45847</v>
      </c>
      <c r="C85" t="s">
        <v>38</v>
      </c>
      <c r="D85" t="s">
        <v>45</v>
      </c>
      <c r="E85" t="s">
        <v>18</v>
      </c>
      <c r="F85" t="s">
        <v>25</v>
      </c>
      <c r="G85">
        <v>3188.2</v>
      </c>
      <c r="H85">
        <v>2</v>
      </c>
      <c r="I85" s="1">
        <f t="shared" si="2"/>
        <v>45849</v>
      </c>
      <c r="J85" s="1">
        <f t="shared" si="3"/>
        <v>45849</v>
      </c>
      <c r="K85" t="s">
        <v>20</v>
      </c>
      <c r="L85">
        <v>672.82</v>
      </c>
      <c r="M85">
        <v>784.01</v>
      </c>
      <c r="N85">
        <v>1176.7</v>
      </c>
      <c r="O85">
        <v>0</v>
      </c>
    </row>
    <row r="86" spans="1:18" x14ac:dyDescent="0.3">
      <c r="A86" t="s">
        <v>123</v>
      </c>
      <c r="B86" s="1">
        <v>45848</v>
      </c>
      <c r="C86" t="s">
        <v>31</v>
      </c>
      <c r="D86" t="s">
        <v>17</v>
      </c>
      <c r="E86" t="s">
        <v>18</v>
      </c>
      <c r="F86" t="s">
        <v>25</v>
      </c>
      <c r="G86">
        <v>7204.6</v>
      </c>
      <c r="H86">
        <v>3</v>
      </c>
      <c r="I86" s="1">
        <f t="shared" si="2"/>
        <v>45851</v>
      </c>
      <c r="J86" s="1">
        <f t="shared" si="3"/>
        <v>45855</v>
      </c>
      <c r="K86" t="s">
        <v>20</v>
      </c>
      <c r="L86">
        <v>767.4</v>
      </c>
      <c r="M86">
        <v>849.02</v>
      </c>
      <c r="N86">
        <v>1055.24</v>
      </c>
      <c r="O86">
        <v>4</v>
      </c>
      <c r="Q86">
        <f>COUNTBLANK(J2:J301)</f>
        <v>3</v>
      </c>
    </row>
    <row r="87" spans="1:18" x14ac:dyDescent="0.3">
      <c r="A87" t="s">
        <v>124</v>
      </c>
      <c r="B87" s="1">
        <v>45849</v>
      </c>
      <c r="C87" t="s">
        <v>31</v>
      </c>
      <c r="D87" t="s">
        <v>45</v>
      </c>
      <c r="E87" t="s">
        <v>18</v>
      </c>
      <c r="F87" t="s">
        <v>25</v>
      </c>
      <c r="G87">
        <v>1183</v>
      </c>
      <c r="H87">
        <v>2</v>
      </c>
      <c r="I87" s="1">
        <f t="shared" si="2"/>
        <v>45851</v>
      </c>
      <c r="J87" s="1">
        <f t="shared" si="3"/>
        <v>45852</v>
      </c>
      <c r="K87" t="s">
        <v>20</v>
      </c>
      <c r="L87">
        <v>528.61</v>
      </c>
      <c r="M87">
        <v>618.67999999999995</v>
      </c>
      <c r="N87">
        <v>794.36</v>
      </c>
      <c r="O87">
        <v>1</v>
      </c>
    </row>
    <row r="88" spans="1:18" x14ac:dyDescent="0.3">
      <c r="A88" t="s">
        <v>125</v>
      </c>
      <c r="B88" s="1">
        <v>45850</v>
      </c>
      <c r="C88" t="s">
        <v>16</v>
      </c>
      <c r="D88" t="s">
        <v>40</v>
      </c>
      <c r="E88" t="s">
        <v>24</v>
      </c>
      <c r="F88" t="s">
        <v>19</v>
      </c>
      <c r="G88">
        <v>5972.1</v>
      </c>
      <c r="H88">
        <v>12</v>
      </c>
      <c r="I88" s="1">
        <f t="shared" si="2"/>
        <v>45862</v>
      </c>
      <c r="J88" s="1">
        <f t="shared" si="3"/>
        <v>45862</v>
      </c>
      <c r="K88" t="s">
        <v>20</v>
      </c>
      <c r="L88">
        <v>1810.99</v>
      </c>
      <c r="M88">
        <v>2140.23</v>
      </c>
      <c r="N88">
        <v>2580.29</v>
      </c>
      <c r="O88">
        <v>0</v>
      </c>
    </row>
    <row r="89" spans="1:18" x14ac:dyDescent="0.3">
      <c r="A89" t="s">
        <v>126</v>
      </c>
      <c r="B89" s="1">
        <v>45851</v>
      </c>
      <c r="C89" t="s">
        <v>34</v>
      </c>
      <c r="D89" t="s">
        <v>64</v>
      </c>
      <c r="E89" t="s">
        <v>18</v>
      </c>
      <c r="F89" t="s">
        <v>19</v>
      </c>
      <c r="G89">
        <v>6783.9</v>
      </c>
      <c r="H89">
        <v>2</v>
      </c>
      <c r="I89" s="1">
        <f t="shared" si="2"/>
        <v>45853</v>
      </c>
      <c r="J89" s="1">
        <f t="shared" si="3"/>
        <v>45853</v>
      </c>
      <c r="K89" t="s">
        <v>20</v>
      </c>
      <c r="L89">
        <v>615.38</v>
      </c>
      <c r="M89">
        <v>712.82</v>
      </c>
      <c r="N89">
        <v>761.71</v>
      </c>
      <c r="O89">
        <v>0</v>
      </c>
    </row>
    <row r="90" spans="1:18" x14ac:dyDescent="0.3">
      <c r="A90" t="s">
        <v>127</v>
      </c>
      <c r="B90" s="1">
        <v>45852</v>
      </c>
      <c r="C90" t="s">
        <v>44</v>
      </c>
      <c r="D90" t="s">
        <v>52</v>
      </c>
      <c r="E90" t="s">
        <v>18</v>
      </c>
      <c r="F90" t="s">
        <v>25</v>
      </c>
      <c r="G90">
        <v>5157.8999999999996</v>
      </c>
      <c r="H90">
        <v>4</v>
      </c>
      <c r="I90" s="1">
        <f t="shared" si="2"/>
        <v>45856</v>
      </c>
      <c r="J90" s="1">
        <f t="shared" si="3"/>
        <v>45856</v>
      </c>
      <c r="K90" t="s">
        <v>20</v>
      </c>
      <c r="L90">
        <v>998.48</v>
      </c>
      <c r="M90">
        <v>1158.79</v>
      </c>
      <c r="N90">
        <v>1558.5</v>
      </c>
      <c r="O90">
        <v>0</v>
      </c>
    </row>
    <row r="91" spans="1:18" x14ac:dyDescent="0.3">
      <c r="A91" t="s">
        <v>128</v>
      </c>
      <c r="B91" s="1">
        <v>45853</v>
      </c>
      <c r="C91" t="s">
        <v>34</v>
      </c>
      <c r="D91" t="s">
        <v>32</v>
      </c>
      <c r="E91" t="s">
        <v>24</v>
      </c>
      <c r="F91" t="s">
        <v>25</v>
      </c>
      <c r="G91">
        <v>3739.1</v>
      </c>
      <c r="H91">
        <v>14</v>
      </c>
      <c r="I91" s="1">
        <f t="shared" si="2"/>
        <v>45867</v>
      </c>
      <c r="J91" s="1">
        <f t="shared" si="3"/>
        <v>45870</v>
      </c>
      <c r="K91" t="s">
        <v>20</v>
      </c>
      <c r="L91">
        <v>2278.4299999999998</v>
      </c>
      <c r="M91">
        <v>2568.87</v>
      </c>
      <c r="N91">
        <v>3208.85</v>
      </c>
      <c r="O91">
        <v>3</v>
      </c>
    </row>
    <row r="92" spans="1:18" x14ac:dyDescent="0.3">
      <c r="A92" t="s">
        <v>129</v>
      </c>
      <c r="B92" s="1">
        <v>45854</v>
      </c>
      <c r="C92" t="s">
        <v>38</v>
      </c>
      <c r="D92" t="s">
        <v>69</v>
      </c>
      <c r="E92" t="s">
        <v>29</v>
      </c>
      <c r="F92" t="s">
        <v>25</v>
      </c>
      <c r="G92">
        <v>889.5</v>
      </c>
      <c r="H92">
        <v>2</v>
      </c>
      <c r="I92" s="1">
        <f t="shared" si="2"/>
        <v>45856</v>
      </c>
      <c r="J92" s="1">
        <f t="shared" si="3"/>
        <v>45856</v>
      </c>
      <c r="K92" t="s">
        <v>20</v>
      </c>
      <c r="L92">
        <v>247.29</v>
      </c>
      <c r="M92">
        <v>292.95</v>
      </c>
      <c r="N92">
        <v>350.89</v>
      </c>
      <c r="O92">
        <v>0</v>
      </c>
    </row>
    <row r="93" spans="1:18" x14ac:dyDescent="0.3">
      <c r="A93" t="s">
        <v>130</v>
      </c>
      <c r="B93" s="1">
        <v>45855</v>
      </c>
      <c r="C93" t="s">
        <v>31</v>
      </c>
      <c r="D93" t="s">
        <v>45</v>
      </c>
      <c r="E93" t="s">
        <v>18</v>
      </c>
      <c r="F93" t="s">
        <v>25</v>
      </c>
      <c r="G93">
        <v>905.6</v>
      </c>
      <c r="H93">
        <v>2</v>
      </c>
      <c r="I93" s="1">
        <f t="shared" si="2"/>
        <v>45857</v>
      </c>
      <c r="J93" s="1">
        <f t="shared" si="3"/>
        <v>45857</v>
      </c>
      <c r="K93" t="s">
        <v>20</v>
      </c>
      <c r="L93">
        <v>656.78</v>
      </c>
      <c r="M93">
        <v>853.68</v>
      </c>
      <c r="N93">
        <v>866.42</v>
      </c>
      <c r="O93">
        <v>0</v>
      </c>
    </row>
    <row r="94" spans="1:18" x14ac:dyDescent="0.3">
      <c r="A94" t="s">
        <v>131</v>
      </c>
      <c r="B94" s="1">
        <v>45856</v>
      </c>
      <c r="C94" t="s">
        <v>27</v>
      </c>
      <c r="D94" t="s">
        <v>17</v>
      </c>
      <c r="E94" t="s">
        <v>18</v>
      </c>
      <c r="F94" t="s">
        <v>19</v>
      </c>
      <c r="G94">
        <v>2546.6</v>
      </c>
      <c r="H94">
        <v>3</v>
      </c>
      <c r="I94" s="1">
        <f t="shared" si="2"/>
        <v>45859</v>
      </c>
      <c r="J94" s="1">
        <f t="shared" si="3"/>
        <v>45866</v>
      </c>
      <c r="K94" t="s">
        <v>20</v>
      </c>
      <c r="L94">
        <v>836.03</v>
      </c>
      <c r="M94">
        <v>869.42</v>
      </c>
      <c r="N94">
        <v>1115.3499999999999</v>
      </c>
      <c r="O94">
        <v>7</v>
      </c>
    </row>
    <row r="95" spans="1:18" x14ac:dyDescent="0.3">
      <c r="A95" t="s">
        <v>132</v>
      </c>
      <c r="B95" s="1">
        <v>45857</v>
      </c>
      <c r="C95" t="s">
        <v>44</v>
      </c>
      <c r="D95" t="s">
        <v>45</v>
      </c>
      <c r="E95" t="s">
        <v>18</v>
      </c>
      <c r="F95" t="s">
        <v>25</v>
      </c>
      <c r="G95">
        <v>4336.2</v>
      </c>
      <c r="H95">
        <v>2</v>
      </c>
      <c r="I95" s="1">
        <f t="shared" si="2"/>
        <v>45859</v>
      </c>
      <c r="J95" s="1">
        <f t="shared" si="3"/>
        <v>45859</v>
      </c>
      <c r="K95" t="s">
        <v>20</v>
      </c>
      <c r="L95">
        <v>715.79</v>
      </c>
      <c r="M95">
        <v>799.25</v>
      </c>
      <c r="N95">
        <v>1046.43</v>
      </c>
      <c r="O95">
        <v>0</v>
      </c>
    </row>
    <row r="96" spans="1:18" x14ac:dyDescent="0.3">
      <c r="A96" t="s">
        <v>133</v>
      </c>
      <c r="B96" s="1">
        <v>45858</v>
      </c>
      <c r="C96" t="s">
        <v>44</v>
      </c>
      <c r="D96" t="s">
        <v>42</v>
      </c>
      <c r="E96" t="s">
        <v>24</v>
      </c>
      <c r="F96" t="s">
        <v>19</v>
      </c>
      <c r="G96">
        <v>1195.5999999999999</v>
      </c>
      <c r="H96">
        <v>10</v>
      </c>
      <c r="I96" s="1">
        <f t="shared" si="2"/>
        <v>45868</v>
      </c>
      <c r="J96" s="1">
        <f t="shared" si="3"/>
        <v>45868</v>
      </c>
      <c r="K96" t="s">
        <v>20</v>
      </c>
      <c r="L96">
        <v>1601.56</v>
      </c>
      <c r="M96">
        <v>1784.03</v>
      </c>
      <c r="N96">
        <v>2374.5</v>
      </c>
      <c r="O96">
        <v>0</v>
      </c>
    </row>
    <row r="97" spans="1:15" x14ac:dyDescent="0.3">
      <c r="A97" t="s">
        <v>134</v>
      </c>
      <c r="B97" s="1">
        <v>45859</v>
      </c>
      <c r="C97" t="s">
        <v>16</v>
      </c>
      <c r="D97" t="s">
        <v>17</v>
      </c>
      <c r="E97" t="s">
        <v>18</v>
      </c>
      <c r="F97" t="s">
        <v>25</v>
      </c>
      <c r="G97">
        <v>183.7</v>
      </c>
      <c r="H97">
        <v>3</v>
      </c>
      <c r="I97" s="1">
        <f t="shared" si="2"/>
        <v>45862</v>
      </c>
      <c r="J97" s="1">
        <f t="shared" si="3"/>
        <v>45862</v>
      </c>
      <c r="K97" t="s">
        <v>20</v>
      </c>
      <c r="L97">
        <v>667.52</v>
      </c>
      <c r="M97">
        <v>764.22</v>
      </c>
      <c r="N97">
        <v>1072.1400000000001</v>
      </c>
      <c r="O97">
        <v>0</v>
      </c>
    </row>
    <row r="98" spans="1:15" x14ac:dyDescent="0.3">
      <c r="A98" t="s">
        <v>135</v>
      </c>
      <c r="B98" s="1">
        <v>45860</v>
      </c>
      <c r="C98" t="s">
        <v>27</v>
      </c>
      <c r="D98" t="s">
        <v>17</v>
      </c>
      <c r="E98" t="s">
        <v>18</v>
      </c>
      <c r="F98" t="s">
        <v>19</v>
      </c>
      <c r="G98">
        <v>2452.8000000000002</v>
      </c>
      <c r="H98">
        <v>3</v>
      </c>
      <c r="I98" s="1">
        <f t="shared" si="2"/>
        <v>45863</v>
      </c>
      <c r="J98" s="1">
        <f t="shared" si="3"/>
        <v>45863</v>
      </c>
      <c r="K98" t="s">
        <v>20</v>
      </c>
      <c r="L98">
        <v>746.06</v>
      </c>
      <c r="M98">
        <v>938.71</v>
      </c>
      <c r="N98">
        <v>1057</v>
      </c>
      <c r="O98">
        <v>0</v>
      </c>
    </row>
    <row r="99" spans="1:15" x14ac:dyDescent="0.3">
      <c r="A99" t="s">
        <v>136</v>
      </c>
      <c r="B99" s="1">
        <v>45861</v>
      </c>
      <c r="C99" t="s">
        <v>50</v>
      </c>
      <c r="D99" t="s">
        <v>17</v>
      </c>
      <c r="E99" t="s">
        <v>18</v>
      </c>
      <c r="F99" t="s">
        <v>19</v>
      </c>
      <c r="G99">
        <v>4553.5</v>
      </c>
      <c r="H99">
        <v>3</v>
      </c>
      <c r="I99" s="1">
        <f t="shared" si="2"/>
        <v>45864</v>
      </c>
      <c r="J99" s="1">
        <f t="shared" si="3"/>
        <v>45864</v>
      </c>
      <c r="K99" t="s">
        <v>20</v>
      </c>
      <c r="L99">
        <v>717.6</v>
      </c>
      <c r="M99">
        <v>878.71</v>
      </c>
      <c r="N99">
        <v>1076.03</v>
      </c>
      <c r="O99">
        <v>0</v>
      </c>
    </row>
    <row r="100" spans="1:15" x14ac:dyDescent="0.3">
      <c r="A100" t="s">
        <v>137</v>
      </c>
      <c r="B100" s="1">
        <v>45862</v>
      </c>
      <c r="C100" t="s">
        <v>44</v>
      </c>
      <c r="D100" t="s">
        <v>23</v>
      </c>
      <c r="E100" t="s">
        <v>24</v>
      </c>
      <c r="F100" t="s">
        <v>25</v>
      </c>
      <c r="G100">
        <v>1520.9</v>
      </c>
      <c r="H100">
        <v>6</v>
      </c>
      <c r="I100" s="1">
        <f t="shared" si="2"/>
        <v>45868</v>
      </c>
      <c r="J100" s="1">
        <f t="shared" si="3"/>
        <v>45868</v>
      </c>
      <c r="K100" t="s">
        <v>20</v>
      </c>
      <c r="L100">
        <v>792.86</v>
      </c>
      <c r="M100">
        <v>871.77</v>
      </c>
      <c r="N100">
        <v>1056.67</v>
      </c>
      <c r="O100">
        <v>0</v>
      </c>
    </row>
    <row r="101" spans="1:15" x14ac:dyDescent="0.3">
      <c r="A101" t="s">
        <v>138</v>
      </c>
      <c r="B101" s="1">
        <v>45863</v>
      </c>
      <c r="C101" t="s">
        <v>50</v>
      </c>
      <c r="D101" t="s">
        <v>17</v>
      </c>
      <c r="E101" t="s">
        <v>18</v>
      </c>
      <c r="F101" t="s">
        <v>25</v>
      </c>
      <c r="G101">
        <v>6946.6</v>
      </c>
      <c r="H101">
        <v>3</v>
      </c>
      <c r="I101" s="1">
        <f t="shared" si="2"/>
        <v>45866</v>
      </c>
      <c r="J101" s="1">
        <f t="shared" si="3"/>
        <v>45866</v>
      </c>
      <c r="K101" t="s">
        <v>20</v>
      </c>
      <c r="L101">
        <v>773.76</v>
      </c>
      <c r="M101">
        <v>879.83</v>
      </c>
      <c r="N101">
        <v>1247.92</v>
      </c>
      <c r="O101">
        <v>0</v>
      </c>
    </row>
    <row r="102" spans="1:15" x14ac:dyDescent="0.3">
      <c r="A102" t="s">
        <v>139</v>
      </c>
      <c r="B102" s="1">
        <v>45864</v>
      </c>
      <c r="C102" t="s">
        <v>44</v>
      </c>
      <c r="D102" t="s">
        <v>28</v>
      </c>
      <c r="E102" t="s">
        <v>29</v>
      </c>
      <c r="F102" t="s">
        <v>25</v>
      </c>
      <c r="G102">
        <v>4489.2</v>
      </c>
      <c r="H102">
        <v>2</v>
      </c>
      <c r="I102" s="1">
        <f t="shared" si="2"/>
        <v>45866</v>
      </c>
      <c r="J102" s="1">
        <f t="shared" si="3"/>
        <v>45866</v>
      </c>
      <c r="K102" t="s">
        <v>20</v>
      </c>
      <c r="L102">
        <v>220.18</v>
      </c>
      <c r="M102">
        <v>252.76</v>
      </c>
      <c r="N102">
        <v>380.41</v>
      </c>
      <c r="O102">
        <v>0</v>
      </c>
    </row>
    <row r="103" spans="1:15" x14ac:dyDescent="0.3">
      <c r="A103" t="s">
        <v>140</v>
      </c>
      <c r="B103" s="1">
        <v>45865</v>
      </c>
      <c r="C103" t="s">
        <v>31</v>
      </c>
      <c r="D103" t="s">
        <v>23</v>
      </c>
      <c r="E103" t="s">
        <v>24</v>
      </c>
      <c r="F103" t="s">
        <v>25</v>
      </c>
      <c r="G103">
        <v>1197.4000000000001</v>
      </c>
      <c r="H103">
        <v>6</v>
      </c>
      <c r="I103" s="1">
        <f t="shared" si="2"/>
        <v>45871</v>
      </c>
      <c r="J103" s="1">
        <f t="shared" si="3"/>
        <v>45873</v>
      </c>
      <c r="K103" t="s">
        <v>20</v>
      </c>
      <c r="L103">
        <v>924.35</v>
      </c>
      <c r="M103">
        <v>1105.6199999999999</v>
      </c>
      <c r="N103">
        <v>1628.02</v>
      </c>
      <c r="O103">
        <v>2</v>
      </c>
    </row>
    <row r="104" spans="1:15" x14ac:dyDescent="0.3">
      <c r="A104" t="s">
        <v>141</v>
      </c>
      <c r="B104" s="1">
        <v>45866</v>
      </c>
      <c r="C104" t="s">
        <v>31</v>
      </c>
      <c r="D104" t="s">
        <v>17</v>
      </c>
      <c r="E104" t="s">
        <v>18</v>
      </c>
      <c r="F104" t="s">
        <v>25</v>
      </c>
      <c r="G104">
        <v>5172</v>
      </c>
      <c r="H104">
        <v>3</v>
      </c>
      <c r="I104" s="1">
        <f t="shared" si="2"/>
        <v>45869</v>
      </c>
      <c r="J104" s="1">
        <f t="shared" si="3"/>
        <v>45870</v>
      </c>
      <c r="K104" t="s">
        <v>20</v>
      </c>
      <c r="L104">
        <v>803.12</v>
      </c>
      <c r="M104">
        <v>1003.17</v>
      </c>
      <c r="N104">
        <v>1392.79</v>
      </c>
      <c r="O104">
        <v>1</v>
      </c>
    </row>
    <row r="105" spans="1:15" x14ac:dyDescent="0.3">
      <c r="A105" t="s">
        <v>142</v>
      </c>
      <c r="B105" s="1">
        <v>45867</v>
      </c>
      <c r="C105" t="s">
        <v>44</v>
      </c>
      <c r="D105" t="s">
        <v>40</v>
      </c>
      <c r="E105" t="s">
        <v>24</v>
      </c>
      <c r="F105" t="s">
        <v>25</v>
      </c>
      <c r="G105">
        <v>2813.9</v>
      </c>
      <c r="H105">
        <v>12</v>
      </c>
      <c r="I105" s="1">
        <f t="shared" si="2"/>
        <v>45879</v>
      </c>
      <c r="J105" s="1">
        <f t="shared" si="3"/>
        <v>45879</v>
      </c>
      <c r="K105" t="s">
        <v>20</v>
      </c>
      <c r="L105">
        <v>1329.27</v>
      </c>
      <c r="M105">
        <v>1476.61</v>
      </c>
      <c r="N105">
        <v>2129.44</v>
      </c>
      <c r="O105">
        <v>0</v>
      </c>
    </row>
    <row r="106" spans="1:15" x14ac:dyDescent="0.3">
      <c r="A106" t="s">
        <v>143</v>
      </c>
      <c r="B106" s="1">
        <v>45868</v>
      </c>
      <c r="C106" t="s">
        <v>34</v>
      </c>
      <c r="D106" t="s">
        <v>28</v>
      </c>
      <c r="E106" t="s">
        <v>29</v>
      </c>
      <c r="F106" t="s">
        <v>25</v>
      </c>
      <c r="G106">
        <v>3940.5</v>
      </c>
      <c r="H106">
        <v>2</v>
      </c>
      <c r="I106" s="1">
        <f t="shared" si="2"/>
        <v>45870</v>
      </c>
      <c r="J106" s="1">
        <f t="shared" si="3"/>
        <v>45870</v>
      </c>
      <c r="K106" t="s">
        <v>20</v>
      </c>
      <c r="L106">
        <v>318.97000000000003</v>
      </c>
      <c r="M106">
        <v>364.32</v>
      </c>
      <c r="N106">
        <v>545.53</v>
      </c>
      <c r="O106">
        <v>0</v>
      </c>
    </row>
    <row r="107" spans="1:15" x14ac:dyDescent="0.3">
      <c r="A107" t="s">
        <v>144</v>
      </c>
      <c r="B107" s="1">
        <v>45869</v>
      </c>
      <c r="C107" t="s">
        <v>34</v>
      </c>
      <c r="D107" t="s">
        <v>40</v>
      </c>
      <c r="E107" t="s">
        <v>24</v>
      </c>
      <c r="F107" t="s">
        <v>25</v>
      </c>
      <c r="G107">
        <v>1183.7</v>
      </c>
      <c r="H107">
        <v>12</v>
      </c>
      <c r="I107" s="1">
        <f t="shared" si="2"/>
        <v>45881</v>
      </c>
      <c r="J107" s="1">
        <f t="shared" si="3"/>
        <v>45881</v>
      </c>
      <c r="K107" t="s">
        <v>20</v>
      </c>
      <c r="L107">
        <v>1643.95</v>
      </c>
      <c r="M107">
        <v>1860.65</v>
      </c>
      <c r="N107">
        <v>2331.6799999999998</v>
      </c>
      <c r="O107">
        <v>0</v>
      </c>
    </row>
    <row r="108" spans="1:15" x14ac:dyDescent="0.3">
      <c r="A108" t="s">
        <v>145</v>
      </c>
      <c r="B108" s="1">
        <v>45870</v>
      </c>
      <c r="C108" t="s">
        <v>34</v>
      </c>
      <c r="D108" t="s">
        <v>32</v>
      </c>
      <c r="E108" t="s">
        <v>24</v>
      </c>
      <c r="F108" t="s">
        <v>25</v>
      </c>
      <c r="G108">
        <v>6535.2</v>
      </c>
      <c r="H108">
        <v>14</v>
      </c>
      <c r="I108" s="1">
        <f t="shared" si="2"/>
        <v>45884</v>
      </c>
      <c r="J108" s="1">
        <f t="shared" si="3"/>
        <v>45884</v>
      </c>
      <c r="K108" t="s">
        <v>20</v>
      </c>
      <c r="L108">
        <v>1706.7</v>
      </c>
      <c r="M108">
        <v>1745.85</v>
      </c>
      <c r="N108">
        <v>2377.61</v>
      </c>
      <c r="O108">
        <v>0</v>
      </c>
    </row>
    <row r="109" spans="1:15" x14ac:dyDescent="0.3">
      <c r="A109" t="s">
        <v>146</v>
      </c>
      <c r="B109" s="1">
        <v>45871</v>
      </c>
      <c r="C109" t="s">
        <v>27</v>
      </c>
      <c r="D109" t="s">
        <v>42</v>
      </c>
      <c r="E109" t="s">
        <v>24</v>
      </c>
      <c r="F109" t="s">
        <v>19</v>
      </c>
      <c r="G109">
        <v>2168.4</v>
      </c>
      <c r="H109">
        <v>10</v>
      </c>
      <c r="I109" s="1">
        <f t="shared" si="2"/>
        <v>45881</v>
      </c>
      <c r="J109" s="1">
        <f t="shared" si="3"/>
        <v>45882</v>
      </c>
      <c r="K109" t="s">
        <v>20</v>
      </c>
      <c r="L109">
        <v>1548.87</v>
      </c>
      <c r="M109">
        <v>1631</v>
      </c>
      <c r="N109">
        <v>1967</v>
      </c>
      <c r="O109">
        <v>1</v>
      </c>
    </row>
    <row r="110" spans="1:15" x14ac:dyDescent="0.3">
      <c r="A110" t="s">
        <v>147</v>
      </c>
      <c r="B110" s="1">
        <v>45872</v>
      </c>
      <c r="C110" t="s">
        <v>34</v>
      </c>
      <c r="D110" t="s">
        <v>52</v>
      </c>
      <c r="E110" t="s">
        <v>18</v>
      </c>
      <c r="F110" t="s">
        <v>25</v>
      </c>
      <c r="G110">
        <v>3114.5</v>
      </c>
      <c r="H110">
        <v>4</v>
      </c>
      <c r="I110" s="1">
        <f t="shared" si="2"/>
        <v>45876</v>
      </c>
      <c r="J110" s="1">
        <f t="shared" si="3"/>
        <v>45877</v>
      </c>
      <c r="K110" t="s">
        <v>20</v>
      </c>
      <c r="L110">
        <v>1001.97</v>
      </c>
      <c r="M110">
        <v>1113.92</v>
      </c>
      <c r="N110">
        <v>1467.6</v>
      </c>
      <c r="O110">
        <v>1</v>
      </c>
    </row>
    <row r="111" spans="1:15" x14ac:dyDescent="0.3">
      <c r="A111" t="s">
        <v>148</v>
      </c>
      <c r="B111" s="1">
        <v>45873</v>
      </c>
      <c r="C111" t="s">
        <v>16</v>
      </c>
      <c r="D111" t="s">
        <v>42</v>
      </c>
      <c r="E111" t="s">
        <v>24</v>
      </c>
      <c r="F111" t="s">
        <v>25</v>
      </c>
      <c r="G111">
        <v>3542.6</v>
      </c>
      <c r="H111">
        <v>10</v>
      </c>
      <c r="I111" s="1">
        <f t="shared" si="2"/>
        <v>45883</v>
      </c>
      <c r="J111" s="1">
        <f t="shared" si="3"/>
        <v>45883</v>
      </c>
      <c r="K111" t="s">
        <v>20</v>
      </c>
      <c r="L111">
        <v>1414.27</v>
      </c>
      <c r="M111">
        <v>1573.08</v>
      </c>
      <c r="N111">
        <v>2224.39</v>
      </c>
      <c r="O111">
        <v>0</v>
      </c>
    </row>
    <row r="112" spans="1:15" x14ac:dyDescent="0.3">
      <c r="A112" t="s">
        <v>149</v>
      </c>
      <c r="B112" s="1">
        <v>45874</v>
      </c>
      <c r="C112" t="s">
        <v>31</v>
      </c>
      <c r="D112" t="s">
        <v>17</v>
      </c>
      <c r="E112" t="s">
        <v>18</v>
      </c>
      <c r="F112" t="s">
        <v>19</v>
      </c>
      <c r="G112">
        <v>1782.3</v>
      </c>
      <c r="H112">
        <v>3</v>
      </c>
      <c r="I112" s="1">
        <f t="shared" si="2"/>
        <v>45877</v>
      </c>
      <c r="J112" s="1">
        <f t="shared" si="3"/>
        <v>45882</v>
      </c>
      <c r="K112" t="s">
        <v>20</v>
      </c>
      <c r="L112">
        <v>694.73</v>
      </c>
      <c r="M112">
        <v>934.68</v>
      </c>
      <c r="N112">
        <v>1175.5999999999999</v>
      </c>
      <c r="O112">
        <v>5</v>
      </c>
    </row>
    <row r="113" spans="1:15" x14ac:dyDescent="0.3">
      <c r="A113" t="s">
        <v>150</v>
      </c>
      <c r="B113" s="1">
        <v>45875</v>
      </c>
      <c r="C113" t="s">
        <v>50</v>
      </c>
      <c r="D113" t="s">
        <v>32</v>
      </c>
      <c r="E113" t="s">
        <v>24</v>
      </c>
      <c r="F113" t="s">
        <v>19</v>
      </c>
      <c r="G113">
        <v>6185.6</v>
      </c>
      <c r="H113">
        <v>14</v>
      </c>
      <c r="I113" s="1">
        <f t="shared" si="2"/>
        <v>45889</v>
      </c>
      <c r="J113" s="1">
        <f t="shared" si="3"/>
        <v>45892</v>
      </c>
      <c r="K113" t="s">
        <v>20</v>
      </c>
      <c r="L113">
        <v>2184.63</v>
      </c>
      <c r="M113">
        <v>2562.2199999999998</v>
      </c>
      <c r="N113">
        <v>3289.12</v>
      </c>
      <c r="O113">
        <v>3</v>
      </c>
    </row>
    <row r="114" spans="1:15" x14ac:dyDescent="0.3">
      <c r="A114" t="s">
        <v>151</v>
      </c>
      <c r="B114" s="1">
        <v>45876</v>
      </c>
      <c r="C114" t="s">
        <v>31</v>
      </c>
      <c r="D114" t="s">
        <v>28</v>
      </c>
      <c r="E114" t="s">
        <v>29</v>
      </c>
      <c r="F114" t="s">
        <v>25</v>
      </c>
      <c r="G114">
        <v>6567.3</v>
      </c>
      <c r="H114">
        <v>2</v>
      </c>
      <c r="I114" s="1">
        <f t="shared" si="2"/>
        <v>45878</v>
      </c>
      <c r="J114" s="1">
        <f t="shared" si="3"/>
        <v>45878</v>
      </c>
      <c r="K114" t="s">
        <v>20</v>
      </c>
      <c r="L114">
        <v>290.48</v>
      </c>
      <c r="M114">
        <v>324.08999999999997</v>
      </c>
      <c r="N114">
        <v>404.65</v>
      </c>
      <c r="O114">
        <v>0</v>
      </c>
    </row>
    <row r="115" spans="1:15" x14ac:dyDescent="0.3">
      <c r="A115" t="s">
        <v>152</v>
      </c>
      <c r="B115" s="1">
        <v>45877</v>
      </c>
      <c r="C115" t="s">
        <v>22</v>
      </c>
      <c r="D115" t="s">
        <v>23</v>
      </c>
      <c r="E115" t="s">
        <v>24</v>
      </c>
      <c r="F115" t="s">
        <v>25</v>
      </c>
      <c r="G115">
        <v>6336.9</v>
      </c>
      <c r="H115">
        <v>6</v>
      </c>
      <c r="I115" s="1">
        <f t="shared" si="2"/>
        <v>45883</v>
      </c>
      <c r="J115" s="1">
        <f t="shared" si="3"/>
        <v>45883</v>
      </c>
      <c r="K115" t="s">
        <v>20</v>
      </c>
      <c r="L115">
        <v>750.7</v>
      </c>
      <c r="M115">
        <v>776.72</v>
      </c>
      <c r="N115">
        <v>1192.1300000000001</v>
      </c>
      <c r="O115">
        <v>0</v>
      </c>
    </row>
    <row r="116" spans="1:15" x14ac:dyDescent="0.3">
      <c r="A116" t="s">
        <v>153</v>
      </c>
      <c r="B116" s="1">
        <v>45878</v>
      </c>
      <c r="C116" t="s">
        <v>44</v>
      </c>
      <c r="D116" t="s">
        <v>40</v>
      </c>
      <c r="E116" t="s">
        <v>24</v>
      </c>
      <c r="F116" t="s">
        <v>25</v>
      </c>
      <c r="G116">
        <v>5814.9</v>
      </c>
      <c r="H116">
        <v>12</v>
      </c>
      <c r="I116" s="1">
        <f t="shared" si="2"/>
        <v>45890</v>
      </c>
      <c r="J116" s="1">
        <f t="shared" si="3"/>
        <v>45890</v>
      </c>
      <c r="K116" t="s">
        <v>20</v>
      </c>
      <c r="L116">
        <v>1729.6</v>
      </c>
      <c r="M116">
        <v>2041.82</v>
      </c>
      <c r="N116">
        <v>2859</v>
      </c>
      <c r="O116">
        <v>0</v>
      </c>
    </row>
    <row r="117" spans="1:15" x14ac:dyDescent="0.3">
      <c r="A117" t="s">
        <v>154</v>
      </c>
      <c r="B117" s="1">
        <v>45879</v>
      </c>
      <c r="C117" t="s">
        <v>27</v>
      </c>
      <c r="D117" t="s">
        <v>52</v>
      </c>
      <c r="E117" t="s">
        <v>18</v>
      </c>
      <c r="F117" t="s">
        <v>25</v>
      </c>
      <c r="G117">
        <v>5668.2</v>
      </c>
      <c r="H117">
        <v>4</v>
      </c>
      <c r="I117" s="1">
        <f t="shared" si="2"/>
        <v>45883</v>
      </c>
      <c r="J117" s="1">
        <f t="shared" si="3"/>
        <v>45884</v>
      </c>
      <c r="K117" t="s">
        <v>20</v>
      </c>
      <c r="L117">
        <v>1089.69</v>
      </c>
      <c r="M117">
        <v>1120.48</v>
      </c>
      <c r="N117">
        <v>1306.22</v>
      </c>
      <c r="O117">
        <v>1</v>
      </c>
    </row>
    <row r="118" spans="1:15" x14ac:dyDescent="0.3">
      <c r="A118" t="s">
        <v>155</v>
      </c>
      <c r="B118" s="1">
        <v>45880</v>
      </c>
      <c r="C118" t="s">
        <v>34</v>
      </c>
      <c r="D118" t="s">
        <v>17</v>
      </c>
      <c r="E118" t="s">
        <v>18</v>
      </c>
      <c r="F118" t="s">
        <v>25</v>
      </c>
      <c r="G118">
        <v>993</v>
      </c>
      <c r="H118">
        <v>3</v>
      </c>
      <c r="I118" s="1">
        <f t="shared" si="2"/>
        <v>45883</v>
      </c>
      <c r="J118" s="1">
        <f t="shared" si="3"/>
        <v>45887</v>
      </c>
      <c r="K118" t="s">
        <v>20</v>
      </c>
      <c r="L118">
        <v>578.85</v>
      </c>
      <c r="M118">
        <v>655.01</v>
      </c>
      <c r="N118">
        <v>803.73</v>
      </c>
      <c r="O118">
        <v>4</v>
      </c>
    </row>
    <row r="119" spans="1:15" x14ac:dyDescent="0.3">
      <c r="A119" t="s">
        <v>156</v>
      </c>
      <c r="B119" s="1">
        <v>45881</v>
      </c>
      <c r="C119" t="s">
        <v>44</v>
      </c>
      <c r="D119" t="s">
        <v>42</v>
      </c>
      <c r="E119" t="s">
        <v>24</v>
      </c>
      <c r="F119" t="s">
        <v>25</v>
      </c>
      <c r="G119">
        <v>7089.2</v>
      </c>
      <c r="H119">
        <v>10</v>
      </c>
      <c r="I119" s="1">
        <f t="shared" si="2"/>
        <v>45891</v>
      </c>
      <c r="J119" s="1">
        <f t="shared" si="3"/>
        <v>45891</v>
      </c>
      <c r="K119" t="s">
        <v>20</v>
      </c>
      <c r="L119">
        <v>1410.18</v>
      </c>
      <c r="M119">
        <v>1530.28</v>
      </c>
      <c r="N119">
        <v>2000.6</v>
      </c>
      <c r="O119">
        <v>0</v>
      </c>
    </row>
    <row r="120" spans="1:15" x14ac:dyDescent="0.3">
      <c r="A120" t="s">
        <v>157</v>
      </c>
      <c r="B120" s="1">
        <v>45882</v>
      </c>
      <c r="C120" t="s">
        <v>44</v>
      </c>
      <c r="D120" t="s">
        <v>69</v>
      </c>
      <c r="E120" t="s">
        <v>29</v>
      </c>
      <c r="F120" t="s">
        <v>25</v>
      </c>
      <c r="G120">
        <v>4199.7</v>
      </c>
      <c r="H120">
        <v>2</v>
      </c>
      <c r="I120" s="1">
        <f t="shared" si="2"/>
        <v>45884</v>
      </c>
      <c r="J120" s="1">
        <f t="shared" si="3"/>
        <v>45884</v>
      </c>
      <c r="K120" t="s">
        <v>20</v>
      </c>
      <c r="L120">
        <v>239.84</v>
      </c>
      <c r="M120">
        <v>274.98</v>
      </c>
      <c r="N120">
        <v>397.38</v>
      </c>
      <c r="O120">
        <v>0</v>
      </c>
    </row>
    <row r="121" spans="1:15" x14ac:dyDescent="0.3">
      <c r="A121" t="s">
        <v>158</v>
      </c>
      <c r="B121" s="1">
        <v>45883</v>
      </c>
      <c r="C121" t="s">
        <v>44</v>
      </c>
      <c r="D121" t="s">
        <v>42</v>
      </c>
      <c r="E121" t="s">
        <v>24</v>
      </c>
      <c r="F121" t="s">
        <v>19</v>
      </c>
      <c r="G121">
        <v>7466.1</v>
      </c>
      <c r="H121">
        <v>10</v>
      </c>
      <c r="I121" s="1">
        <f t="shared" si="2"/>
        <v>45893</v>
      </c>
      <c r="J121" s="1">
        <f t="shared" si="3"/>
        <v>45897</v>
      </c>
      <c r="K121" t="s">
        <v>20</v>
      </c>
      <c r="L121">
        <v>1068.6300000000001</v>
      </c>
      <c r="M121">
        <v>1314.56</v>
      </c>
      <c r="N121">
        <v>1615.88</v>
      </c>
      <c r="O121">
        <v>4</v>
      </c>
    </row>
    <row r="122" spans="1:15" x14ac:dyDescent="0.3">
      <c r="A122" t="s">
        <v>159</v>
      </c>
      <c r="B122" s="1">
        <v>45884</v>
      </c>
      <c r="C122" t="s">
        <v>38</v>
      </c>
      <c r="D122" t="s">
        <v>32</v>
      </c>
      <c r="E122" t="s">
        <v>24</v>
      </c>
      <c r="F122" t="s">
        <v>25</v>
      </c>
      <c r="G122">
        <v>3388.7</v>
      </c>
      <c r="H122">
        <v>14</v>
      </c>
      <c r="I122" s="1">
        <f t="shared" si="2"/>
        <v>45898</v>
      </c>
      <c r="J122" s="1">
        <f t="shared" si="3"/>
        <v>45898</v>
      </c>
      <c r="K122" t="s">
        <v>20</v>
      </c>
      <c r="L122">
        <v>1963.48</v>
      </c>
      <c r="M122">
        <v>2088.1</v>
      </c>
      <c r="N122">
        <v>3043.01</v>
      </c>
      <c r="O122">
        <v>0</v>
      </c>
    </row>
    <row r="123" spans="1:15" x14ac:dyDescent="0.3">
      <c r="A123" t="s">
        <v>160</v>
      </c>
      <c r="B123" s="1">
        <v>45885</v>
      </c>
      <c r="C123" t="s">
        <v>27</v>
      </c>
      <c r="D123" t="s">
        <v>45</v>
      </c>
      <c r="E123" t="s">
        <v>18</v>
      </c>
      <c r="F123" t="s">
        <v>19</v>
      </c>
      <c r="G123">
        <v>4745.7</v>
      </c>
      <c r="H123">
        <v>2</v>
      </c>
      <c r="I123" s="1">
        <f t="shared" si="2"/>
        <v>45887</v>
      </c>
      <c r="J123" s="1">
        <f t="shared" si="3"/>
        <v>45887</v>
      </c>
      <c r="K123" t="s">
        <v>20</v>
      </c>
      <c r="L123">
        <v>594.94000000000005</v>
      </c>
      <c r="M123">
        <v>674.18</v>
      </c>
      <c r="N123">
        <v>910.82</v>
      </c>
      <c r="O123">
        <v>0</v>
      </c>
    </row>
    <row r="124" spans="1:15" x14ac:dyDescent="0.3">
      <c r="A124" t="s">
        <v>161</v>
      </c>
      <c r="B124" s="1">
        <v>45886</v>
      </c>
      <c r="C124" t="s">
        <v>22</v>
      </c>
      <c r="D124" t="s">
        <v>45</v>
      </c>
      <c r="E124" t="s">
        <v>18</v>
      </c>
      <c r="F124" t="s">
        <v>19</v>
      </c>
      <c r="G124">
        <v>6307.9</v>
      </c>
      <c r="H124">
        <v>2</v>
      </c>
      <c r="I124" s="1">
        <f t="shared" si="2"/>
        <v>45888</v>
      </c>
      <c r="J124" s="1">
        <f t="shared" si="3"/>
        <v>45888</v>
      </c>
      <c r="K124" t="s">
        <v>20</v>
      </c>
      <c r="L124">
        <v>605.26</v>
      </c>
      <c r="M124">
        <v>629.41999999999996</v>
      </c>
      <c r="N124">
        <v>963</v>
      </c>
      <c r="O124">
        <v>0</v>
      </c>
    </row>
    <row r="125" spans="1:15" x14ac:dyDescent="0.3">
      <c r="A125" t="s">
        <v>162</v>
      </c>
      <c r="B125" s="1">
        <v>45887</v>
      </c>
      <c r="C125" t="s">
        <v>44</v>
      </c>
      <c r="D125" t="s">
        <v>64</v>
      </c>
      <c r="E125" t="s">
        <v>18</v>
      </c>
      <c r="F125" t="s">
        <v>25</v>
      </c>
      <c r="G125">
        <v>7546.4</v>
      </c>
      <c r="H125">
        <v>2</v>
      </c>
      <c r="I125" s="1">
        <f t="shared" si="2"/>
        <v>45889</v>
      </c>
      <c r="J125" s="1">
        <f t="shared" si="3"/>
        <v>45893</v>
      </c>
      <c r="K125" t="s">
        <v>20</v>
      </c>
      <c r="L125">
        <v>672.37</v>
      </c>
      <c r="M125">
        <v>805.79</v>
      </c>
      <c r="N125">
        <v>951.62</v>
      </c>
      <c r="O125">
        <v>4</v>
      </c>
    </row>
    <row r="126" spans="1:15" x14ac:dyDescent="0.3">
      <c r="A126" t="s">
        <v>163</v>
      </c>
      <c r="B126" s="1">
        <v>45888</v>
      </c>
      <c r="C126" t="s">
        <v>50</v>
      </c>
      <c r="D126" t="s">
        <v>45</v>
      </c>
      <c r="E126" t="s">
        <v>18</v>
      </c>
      <c r="F126" t="s">
        <v>25</v>
      </c>
      <c r="G126">
        <v>6422.1</v>
      </c>
      <c r="H126">
        <v>2</v>
      </c>
      <c r="I126" s="1">
        <f t="shared" si="2"/>
        <v>45890</v>
      </c>
      <c r="J126" s="1">
        <f t="shared" si="3"/>
        <v>45890</v>
      </c>
      <c r="K126" t="s">
        <v>20</v>
      </c>
      <c r="L126">
        <v>557.52</v>
      </c>
      <c r="M126">
        <v>585.29999999999995</v>
      </c>
      <c r="N126">
        <v>866.52</v>
      </c>
      <c r="O126">
        <v>0</v>
      </c>
    </row>
    <row r="127" spans="1:15" x14ac:dyDescent="0.3">
      <c r="A127" t="s">
        <v>164</v>
      </c>
      <c r="B127" s="1">
        <v>45889</v>
      </c>
      <c r="C127" t="s">
        <v>27</v>
      </c>
      <c r="D127" t="s">
        <v>17</v>
      </c>
      <c r="E127" t="s">
        <v>18</v>
      </c>
      <c r="F127" t="s">
        <v>25</v>
      </c>
      <c r="G127">
        <v>3970.2</v>
      </c>
      <c r="H127">
        <v>3</v>
      </c>
      <c r="I127" s="1">
        <f t="shared" si="2"/>
        <v>45892</v>
      </c>
      <c r="J127" s="1">
        <f t="shared" si="3"/>
        <v>45897</v>
      </c>
      <c r="K127" t="s">
        <v>20</v>
      </c>
      <c r="L127">
        <v>885.87</v>
      </c>
      <c r="M127">
        <v>928.24</v>
      </c>
      <c r="N127">
        <v>1258.78</v>
      </c>
      <c r="O127">
        <v>5</v>
      </c>
    </row>
    <row r="128" spans="1:15" x14ac:dyDescent="0.3">
      <c r="A128" t="s">
        <v>165</v>
      </c>
      <c r="B128" s="1">
        <v>45890</v>
      </c>
      <c r="C128" t="s">
        <v>31</v>
      </c>
      <c r="D128" t="s">
        <v>23</v>
      </c>
      <c r="E128" t="s">
        <v>24</v>
      </c>
      <c r="F128" t="s">
        <v>25</v>
      </c>
      <c r="G128">
        <v>6892.2</v>
      </c>
      <c r="H128">
        <v>6</v>
      </c>
      <c r="I128" s="1">
        <f t="shared" si="2"/>
        <v>45896</v>
      </c>
      <c r="J128" s="1">
        <f t="shared" si="3"/>
        <v>45896</v>
      </c>
      <c r="K128" t="s">
        <v>20</v>
      </c>
      <c r="L128">
        <v>702.56</v>
      </c>
      <c r="M128">
        <v>776.97</v>
      </c>
      <c r="N128">
        <v>1171.6500000000001</v>
      </c>
      <c r="O128">
        <v>0</v>
      </c>
    </row>
    <row r="129" spans="1:15" x14ac:dyDescent="0.3">
      <c r="A129" t="s">
        <v>166</v>
      </c>
      <c r="B129" s="1">
        <v>45891</v>
      </c>
      <c r="C129" t="s">
        <v>50</v>
      </c>
      <c r="D129" t="s">
        <v>52</v>
      </c>
      <c r="E129" t="s">
        <v>18</v>
      </c>
      <c r="F129" t="s">
        <v>25</v>
      </c>
      <c r="G129">
        <v>2686.1</v>
      </c>
      <c r="H129">
        <v>4</v>
      </c>
      <c r="I129" s="1">
        <f t="shared" si="2"/>
        <v>45895</v>
      </c>
      <c r="J129" s="1">
        <f t="shared" si="3"/>
        <v>45895</v>
      </c>
      <c r="K129" t="s">
        <v>20</v>
      </c>
      <c r="L129">
        <v>1175.94</v>
      </c>
      <c r="M129">
        <v>1419.26</v>
      </c>
      <c r="N129">
        <v>1605.69</v>
      </c>
      <c r="O129">
        <v>0</v>
      </c>
    </row>
    <row r="130" spans="1:15" x14ac:dyDescent="0.3">
      <c r="A130" t="s">
        <v>167</v>
      </c>
      <c r="B130" s="1">
        <v>45892</v>
      </c>
      <c r="C130" t="s">
        <v>31</v>
      </c>
      <c r="D130" t="s">
        <v>42</v>
      </c>
      <c r="E130" t="s">
        <v>24</v>
      </c>
      <c r="F130" t="s">
        <v>19</v>
      </c>
      <c r="G130">
        <v>7700</v>
      </c>
      <c r="H130">
        <v>10</v>
      </c>
      <c r="I130" s="1">
        <f t="shared" si="2"/>
        <v>45902</v>
      </c>
      <c r="J130" s="1">
        <f t="shared" si="3"/>
        <v>45902</v>
      </c>
      <c r="K130" t="s">
        <v>20</v>
      </c>
      <c r="L130">
        <v>1210.29</v>
      </c>
      <c r="M130">
        <v>1374.59</v>
      </c>
      <c r="N130">
        <v>1873.62</v>
      </c>
      <c r="O130">
        <v>0</v>
      </c>
    </row>
    <row r="131" spans="1:15" x14ac:dyDescent="0.3">
      <c r="A131" t="s">
        <v>168</v>
      </c>
      <c r="B131" s="1">
        <v>45893</v>
      </c>
      <c r="C131" t="s">
        <v>38</v>
      </c>
      <c r="D131" t="s">
        <v>45</v>
      </c>
      <c r="E131" t="s">
        <v>18</v>
      </c>
      <c r="F131" t="s">
        <v>25</v>
      </c>
      <c r="G131">
        <v>2834.6</v>
      </c>
      <c r="H131">
        <v>2</v>
      </c>
      <c r="I131" s="1">
        <f t="shared" ref="I131:I194" si="4">B131+H131</f>
        <v>45895</v>
      </c>
      <c r="J131" s="1">
        <f t="shared" ref="J131:J194" si="5">IF(O131="","",I131+O131)</f>
        <v>45895</v>
      </c>
      <c r="K131" t="s">
        <v>20</v>
      </c>
      <c r="L131">
        <v>742.33</v>
      </c>
      <c r="M131">
        <v>818.47</v>
      </c>
      <c r="N131">
        <v>1211.24</v>
      </c>
      <c r="O131">
        <v>0</v>
      </c>
    </row>
    <row r="132" spans="1:15" x14ac:dyDescent="0.3">
      <c r="A132" t="s">
        <v>169</v>
      </c>
      <c r="B132" s="1">
        <v>45894</v>
      </c>
      <c r="C132" t="s">
        <v>22</v>
      </c>
      <c r="D132" t="s">
        <v>40</v>
      </c>
      <c r="E132" t="s">
        <v>24</v>
      </c>
      <c r="F132" t="s">
        <v>19</v>
      </c>
      <c r="G132">
        <v>2725.4</v>
      </c>
      <c r="H132">
        <v>12</v>
      </c>
      <c r="I132" s="1">
        <f t="shared" si="4"/>
        <v>45906</v>
      </c>
      <c r="J132" s="1">
        <f t="shared" si="5"/>
        <v>45908</v>
      </c>
      <c r="K132" t="s">
        <v>20</v>
      </c>
      <c r="L132">
        <v>1589.64</v>
      </c>
      <c r="M132">
        <v>1837.77</v>
      </c>
      <c r="N132">
        <v>2231.35</v>
      </c>
      <c r="O132">
        <v>2</v>
      </c>
    </row>
    <row r="133" spans="1:15" x14ac:dyDescent="0.3">
      <c r="A133" t="s">
        <v>170</v>
      </c>
      <c r="B133" s="1">
        <v>45895</v>
      </c>
      <c r="C133" t="s">
        <v>34</v>
      </c>
      <c r="D133" t="s">
        <v>45</v>
      </c>
      <c r="E133" t="s">
        <v>18</v>
      </c>
      <c r="F133" t="s">
        <v>25</v>
      </c>
      <c r="G133">
        <v>311.60000000000002</v>
      </c>
      <c r="H133">
        <v>2</v>
      </c>
      <c r="I133" s="1">
        <f t="shared" si="4"/>
        <v>45897</v>
      </c>
      <c r="J133" s="1">
        <f t="shared" si="5"/>
        <v>45898</v>
      </c>
      <c r="K133" t="s">
        <v>20</v>
      </c>
      <c r="L133">
        <v>548.79</v>
      </c>
      <c r="M133">
        <v>712.18</v>
      </c>
      <c r="N133">
        <v>954.97</v>
      </c>
      <c r="O133">
        <v>1</v>
      </c>
    </row>
    <row r="134" spans="1:15" x14ac:dyDescent="0.3">
      <c r="A134" t="s">
        <v>171</v>
      </c>
      <c r="B134" s="1">
        <v>45896</v>
      </c>
      <c r="C134" t="s">
        <v>31</v>
      </c>
      <c r="D134" t="s">
        <v>69</v>
      </c>
      <c r="E134" t="s">
        <v>29</v>
      </c>
      <c r="F134" t="s">
        <v>19</v>
      </c>
      <c r="G134">
        <v>130.6</v>
      </c>
      <c r="H134">
        <v>2</v>
      </c>
      <c r="I134" s="1">
        <f t="shared" si="4"/>
        <v>45898</v>
      </c>
      <c r="J134" s="1">
        <f t="shared" si="5"/>
        <v>45902</v>
      </c>
      <c r="K134" t="s">
        <v>20</v>
      </c>
      <c r="L134">
        <v>184.12</v>
      </c>
      <c r="M134">
        <v>279.18</v>
      </c>
      <c r="N134">
        <v>276.26</v>
      </c>
      <c r="O134">
        <v>4</v>
      </c>
    </row>
    <row r="135" spans="1:15" x14ac:dyDescent="0.3">
      <c r="A135" t="s">
        <v>172</v>
      </c>
      <c r="B135" s="1">
        <v>45897</v>
      </c>
      <c r="C135" t="s">
        <v>27</v>
      </c>
      <c r="D135" t="s">
        <v>40</v>
      </c>
      <c r="E135" t="s">
        <v>24</v>
      </c>
      <c r="F135" t="s">
        <v>25</v>
      </c>
      <c r="G135">
        <v>927.3</v>
      </c>
      <c r="H135">
        <v>12</v>
      </c>
      <c r="I135" s="1">
        <f t="shared" si="4"/>
        <v>45909</v>
      </c>
      <c r="J135" s="1">
        <f t="shared" si="5"/>
        <v>45909</v>
      </c>
      <c r="K135" t="s">
        <v>20</v>
      </c>
      <c r="L135">
        <v>1405.79</v>
      </c>
      <c r="M135">
        <v>1510.95</v>
      </c>
      <c r="N135">
        <v>2099.27</v>
      </c>
      <c r="O135">
        <v>0</v>
      </c>
    </row>
    <row r="136" spans="1:15" x14ac:dyDescent="0.3">
      <c r="A136" t="s">
        <v>173</v>
      </c>
      <c r="B136" s="1">
        <v>45898</v>
      </c>
      <c r="C136" t="s">
        <v>27</v>
      </c>
      <c r="D136" t="s">
        <v>69</v>
      </c>
      <c r="E136" t="s">
        <v>29</v>
      </c>
      <c r="F136" t="s">
        <v>25</v>
      </c>
      <c r="G136">
        <v>7502.8</v>
      </c>
      <c r="H136">
        <v>2</v>
      </c>
      <c r="I136" s="1">
        <f t="shared" si="4"/>
        <v>45900</v>
      </c>
      <c r="J136" s="1">
        <f t="shared" si="5"/>
        <v>45903</v>
      </c>
      <c r="K136" t="s">
        <v>20</v>
      </c>
      <c r="L136">
        <v>224.59</v>
      </c>
      <c r="M136">
        <v>310.52999999999997</v>
      </c>
      <c r="N136">
        <v>280.52</v>
      </c>
      <c r="O136">
        <v>3</v>
      </c>
    </row>
    <row r="137" spans="1:15" x14ac:dyDescent="0.3">
      <c r="A137" t="s">
        <v>174</v>
      </c>
      <c r="B137" s="1">
        <v>45899</v>
      </c>
      <c r="C137" t="s">
        <v>16</v>
      </c>
      <c r="D137" t="s">
        <v>42</v>
      </c>
      <c r="E137" t="s">
        <v>24</v>
      </c>
      <c r="F137" t="s">
        <v>19</v>
      </c>
      <c r="G137">
        <v>4997.7</v>
      </c>
      <c r="H137">
        <v>10</v>
      </c>
      <c r="I137" s="1">
        <f t="shared" si="4"/>
        <v>45909</v>
      </c>
      <c r="J137" s="1">
        <f t="shared" si="5"/>
        <v>45909</v>
      </c>
      <c r="K137" t="s">
        <v>20</v>
      </c>
      <c r="L137">
        <v>1513.96</v>
      </c>
      <c r="M137">
        <v>1835.88</v>
      </c>
      <c r="N137">
        <v>2210.67</v>
      </c>
      <c r="O137">
        <v>0</v>
      </c>
    </row>
    <row r="138" spans="1:15" x14ac:dyDescent="0.3">
      <c r="A138" t="s">
        <v>175</v>
      </c>
      <c r="B138" s="1">
        <v>45900</v>
      </c>
      <c r="C138" t="s">
        <v>22</v>
      </c>
      <c r="D138" t="s">
        <v>42</v>
      </c>
      <c r="E138" t="s">
        <v>24</v>
      </c>
      <c r="F138" t="s">
        <v>19</v>
      </c>
      <c r="G138">
        <v>274.7</v>
      </c>
      <c r="H138">
        <v>10</v>
      </c>
      <c r="I138" s="1">
        <f t="shared" si="4"/>
        <v>45910</v>
      </c>
      <c r="J138" s="1">
        <f t="shared" si="5"/>
        <v>45911</v>
      </c>
      <c r="K138" t="s">
        <v>20</v>
      </c>
      <c r="L138">
        <v>1320.9</v>
      </c>
      <c r="M138">
        <v>1524.18</v>
      </c>
      <c r="N138">
        <v>2156.96</v>
      </c>
      <c r="O138">
        <v>1</v>
      </c>
    </row>
    <row r="139" spans="1:15" x14ac:dyDescent="0.3">
      <c r="A139" t="s">
        <v>176</v>
      </c>
      <c r="B139" s="1">
        <v>45901</v>
      </c>
      <c r="C139" t="s">
        <v>44</v>
      </c>
      <c r="D139" t="s">
        <v>64</v>
      </c>
      <c r="E139" t="s">
        <v>18</v>
      </c>
      <c r="F139" t="s">
        <v>25</v>
      </c>
      <c r="G139">
        <v>7977.2</v>
      </c>
      <c r="H139">
        <v>2</v>
      </c>
      <c r="I139" s="1">
        <f t="shared" si="4"/>
        <v>45903</v>
      </c>
      <c r="J139" s="1">
        <f t="shared" si="5"/>
        <v>45906</v>
      </c>
      <c r="K139" t="s">
        <v>20</v>
      </c>
      <c r="L139">
        <v>493.36</v>
      </c>
      <c r="M139">
        <v>503.31</v>
      </c>
      <c r="N139">
        <v>633.89</v>
      </c>
      <c r="O139">
        <v>3</v>
      </c>
    </row>
    <row r="140" spans="1:15" x14ac:dyDescent="0.3">
      <c r="A140" t="s">
        <v>177</v>
      </c>
      <c r="B140" s="1">
        <v>45902</v>
      </c>
      <c r="C140" t="s">
        <v>44</v>
      </c>
      <c r="D140" t="s">
        <v>28</v>
      </c>
      <c r="E140" t="s">
        <v>29</v>
      </c>
      <c r="F140" t="s">
        <v>25</v>
      </c>
      <c r="G140">
        <v>2244.1999999999998</v>
      </c>
      <c r="H140">
        <v>2</v>
      </c>
      <c r="I140" s="1">
        <f t="shared" si="4"/>
        <v>45904</v>
      </c>
      <c r="J140" s="1">
        <f t="shared" si="5"/>
        <v>45904</v>
      </c>
      <c r="K140" t="s">
        <v>20</v>
      </c>
      <c r="L140">
        <v>306.27</v>
      </c>
      <c r="M140">
        <v>390.27</v>
      </c>
      <c r="N140">
        <v>494.51</v>
      </c>
      <c r="O140">
        <v>0</v>
      </c>
    </row>
    <row r="141" spans="1:15" x14ac:dyDescent="0.3">
      <c r="A141" t="s">
        <v>178</v>
      </c>
      <c r="B141" s="1">
        <v>45903</v>
      </c>
      <c r="C141" t="s">
        <v>16</v>
      </c>
      <c r="D141" t="s">
        <v>52</v>
      </c>
      <c r="E141" t="s">
        <v>18</v>
      </c>
      <c r="F141" t="s">
        <v>25</v>
      </c>
      <c r="G141">
        <v>7873.1</v>
      </c>
      <c r="H141">
        <v>4</v>
      </c>
      <c r="I141" s="1">
        <f t="shared" si="4"/>
        <v>45907</v>
      </c>
      <c r="J141" s="1">
        <f t="shared" si="5"/>
        <v>45911</v>
      </c>
      <c r="K141" t="s">
        <v>20</v>
      </c>
      <c r="L141">
        <v>1162.0999999999999</v>
      </c>
      <c r="M141">
        <v>1364.68</v>
      </c>
      <c r="N141">
        <v>1719.06</v>
      </c>
      <c r="O141">
        <v>4</v>
      </c>
    </row>
    <row r="142" spans="1:15" x14ac:dyDescent="0.3">
      <c r="A142" t="s">
        <v>179</v>
      </c>
      <c r="B142" s="1">
        <v>45904</v>
      </c>
      <c r="C142" t="s">
        <v>44</v>
      </c>
      <c r="D142" t="s">
        <v>64</v>
      </c>
      <c r="E142" t="s">
        <v>18</v>
      </c>
      <c r="F142" t="s">
        <v>25</v>
      </c>
      <c r="G142">
        <v>3814.5</v>
      </c>
      <c r="H142">
        <v>2</v>
      </c>
      <c r="I142" s="1">
        <f t="shared" si="4"/>
        <v>45906</v>
      </c>
      <c r="J142" s="1">
        <f t="shared" si="5"/>
        <v>45906</v>
      </c>
      <c r="K142" t="s">
        <v>20</v>
      </c>
      <c r="L142">
        <v>439.57</v>
      </c>
      <c r="M142">
        <v>534.19000000000005</v>
      </c>
      <c r="N142">
        <v>679.56</v>
      </c>
      <c r="O142">
        <v>0</v>
      </c>
    </row>
    <row r="143" spans="1:15" x14ac:dyDescent="0.3">
      <c r="A143" t="s">
        <v>180</v>
      </c>
      <c r="B143" s="1">
        <v>45905</v>
      </c>
      <c r="C143" t="s">
        <v>27</v>
      </c>
      <c r="D143" t="s">
        <v>28</v>
      </c>
      <c r="E143" t="s">
        <v>29</v>
      </c>
      <c r="F143" t="s">
        <v>19</v>
      </c>
      <c r="G143">
        <v>6390.6</v>
      </c>
      <c r="H143">
        <v>2</v>
      </c>
      <c r="I143" s="1">
        <f t="shared" si="4"/>
        <v>45907</v>
      </c>
      <c r="J143" s="1">
        <f t="shared" si="5"/>
        <v>45909</v>
      </c>
      <c r="K143" t="s">
        <v>20</v>
      </c>
      <c r="L143">
        <v>298.2</v>
      </c>
      <c r="M143">
        <v>384.47</v>
      </c>
      <c r="N143">
        <v>398.6</v>
      </c>
      <c r="O143">
        <v>2</v>
      </c>
    </row>
    <row r="144" spans="1:15" x14ac:dyDescent="0.3">
      <c r="A144" t="s">
        <v>181</v>
      </c>
      <c r="B144" s="1">
        <v>45906</v>
      </c>
      <c r="C144" t="s">
        <v>16</v>
      </c>
      <c r="D144" t="s">
        <v>52</v>
      </c>
      <c r="E144" t="s">
        <v>18</v>
      </c>
      <c r="F144" t="s">
        <v>19</v>
      </c>
      <c r="G144">
        <v>3488</v>
      </c>
      <c r="H144">
        <v>4</v>
      </c>
      <c r="I144" s="1">
        <f t="shared" si="4"/>
        <v>45910</v>
      </c>
      <c r="J144" s="1">
        <f t="shared" si="5"/>
        <v>45910</v>
      </c>
      <c r="K144" t="s">
        <v>20</v>
      </c>
      <c r="L144">
        <v>784.54</v>
      </c>
      <c r="M144">
        <v>995.34</v>
      </c>
      <c r="N144">
        <v>1246.68</v>
      </c>
      <c r="O144">
        <v>0</v>
      </c>
    </row>
    <row r="145" spans="1:32" x14ac:dyDescent="0.3">
      <c r="A145" t="s">
        <v>182</v>
      </c>
      <c r="B145" s="1">
        <v>45907</v>
      </c>
      <c r="C145" t="s">
        <v>16</v>
      </c>
      <c r="D145" t="s">
        <v>28</v>
      </c>
      <c r="E145" t="s">
        <v>29</v>
      </c>
      <c r="F145" t="s">
        <v>25</v>
      </c>
      <c r="G145">
        <v>1264.7</v>
      </c>
      <c r="H145">
        <v>2</v>
      </c>
      <c r="I145" s="1">
        <f t="shared" si="4"/>
        <v>45909</v>
      </c>
      <c r="J145" s="1">
        <f t="shared" si="5"/>
        <v>45909</v>
      </c>
      <c r="K145" t="s">
        <v>20</v>
      </c>
      <c r="L145">
        <v>239.47</v>
      </c>
      <c r="M145">
        <v>274.82</v>
      </c>
      <c r="N145">
        <v>424.25</v>
      </c>
      <c r="O145">
        <v>0</v>
      </c>
    </row>
    <row r="146" spans="1:32" x14ac:dyDescent="0.3">
      <c r="A146" t="s">
        <v>183</v>
      </c>
      <c r="B146" s="1">
        <v>45908</v>
      </c>
      <c r="C146" t="s">
        <v>22</v>
      </c>
      <c r="D146" t="s">
        <v>42</v>
      </c>
      <c r="E146" t="s">
        <v>24</v>
      </c>
      <c r="F146" t="s">
        <v>25</v>
      </c>
      <c r="G146">
        <v>393.8</v>
      </c>
      <c r="H146">
        <v>10</v>
      </c>
      <c r="I146" s="1">
        <f t="shared" si="4"/>
        <v>45918</v>
      </c>
      <c r="J146" s="1">
        <f t="shared" si="5"/>
        <v>45920</v>
      </c>
      <c r="K146" t="s">
        <v>20</v>
      </c>
      <c r="L146">
        <v>1446.25</v>
      </c>
      <c r="M146">
        <v>1690.36</v>
      </c>
      <c r="N146">
        <v>2412.7199999999998</v>
      </c>
      <c r="O146">
        <v>2</v>
      </c>
    </row>
    <row r="147" spans="1:32" x14ac:dyDescent="0.3">
      <c r="A147" t="s">
        <v>184</v>
      </c>
      <c r="B147" s="1">
        <v>45909</v>
      </c>
      <c r="C147" t="s">
        <v>27</v>
      </c>
      <c r="D147" t="s">
        <v>52</v>
      </c>
      <c r="E147" t="s">
        <v>18</v>
      </c>
      <c r="F147" t="s">
        <v>25</v>
      </c>
      <c r="G147">
        <v>2820.5</v>
      </c>
      <c r="H147">
        <v>4</v>
      </c>
      <c r="I147" s="1">
        <f t="shared" si="4"/>
        <v>45913</v>
      </c>
      <c r="J147" s="1">
        <f t="shared" si="5"/>
        <v>45920</v>
      </c>
      <c r="K147" t="s">
        <v>20</v>
      </c>
      <c r="L147">
        <v>846.84</v>
      </c>
      <c r="M147">
        <v>1051.3699999999999</v>
      </c>
      <c r="N147">
        <v>1149.45</v>
      </c>
      <c r="O147">
        <v>7</v>
      </c>
    </row>
    <row r="148" spans="1:32" x14ac:dyDescent="0.3">
      <c r="A148" t="s">
        <v>185</v>
      </c>
      <c r="B148" s="1">
        <v>45910</v>
      </c>
      <c r="C148" t="s">
        <v>16</v>
      </c>
      <c r="D148" t="s">
        <v>42</v>
      </c>
      <c r="E148" t="s">
        <v>24</v>
      </c>
      <c r="F148" t="s">
        <v>19</v>
      </c>
      <c r="G148">
        <v>3223.6</v>
      </c>
      <c r="H148">
        <v>10</v>
      </c>
      <c r="I148" s="1">
        <f t="shared" si="4"/>
        <v>45920</v>
      </c>
      <c r="J148" s="1">
        <f t="shared" si="5"/>
        <v>45920</v>
      </c>
      <c r="K148" t="s">
        <v>20</v>
      </c>
      <c r="L148">
        <v>1580.22</v>
      </c>
      <c r="M148">
        <v>1707.69</v>
      </c>
      <c r="N148">
        <v>1928.91</v>
      </c>
      <c r="O148">
        <v>0</v>
      </c>
    </row>
    <row r="149" spans="1:32" x14ac:dyDescent="0.3">
      <c r="A149" t="s">
        <v>186</v>
      </c>
      <c r="B149" s="1">
        <v>45911</v>
      </c>
      <c r="C149" t="s">
        <v>34</v>
      </c>
      <c r="D149" t="s">
        <v>17</v>
      </c>
      <c r="E149" t="s">
        <v>18</v>
      </c>
      <c r="F149" t="s">
        <v>25</v>
      </c>
      <c r="G149">
        <v>5120.5</v>
      </c>
      <c r="H149">
        <v>3</v>
      </c>
      <c r="I149" s="1">
        <f t="shared" si="4"/>
        <v>45914</v>
      </c>
      <c r="J149" s="1">
        <f t="shared" si="5"/>
        <v>45915</v>
      </c>
      <c r="K149" t="s">
        <v>20</v>
      </c>
      <c r="L149">
        <v>830.45</v>
      </c>
      <c r="M149">
        <v>892.53</v>
      </c>
      <c r="N149">
        <v>1016.07</v>
      </c>
      <c r="O149">
        <v>1</v>
      </c>
    </row>
    <row r="150" spans="1:32" x14ac:dyDescent="0.3">
      <c r="A150" t="s">
        <v>187</v>
      </c>
      <c r="B150" s="1">
        <v>45912</v>
      </c>
      <c r="C150" t="s">
        <v>27</v>
      </c>
      <c r="D150" t="s">
        <v>64</v>
      </c>
      <c r="E150" t="s">
        <v>18</v>
      </c>
      <c r="F150" t="s">
        <v>25</v>
      </c>
      <c r="G150">
        <v>5735.6</v>
      </c>
      <c r="H150">
        <v>2</v>
      </c>
      <c r="I150" s="1">
        <f t="shared" si="4"/>
        <v>45914</v>
      </c>
      <c r="J150" s="1">
        <f t="shared" si="5"/>
        <v>45914</v>
      </c>
      <c r="K150" t="s">
        <v>20</v>
      </c>
      <c r="L150">
        <v>580.95000000000005</v>
      </c>
      <c r="M150">
        <v>660.34</v>
      </c>
      <c r="N150">
        <v>929.51</v>
      </c>
      <c r="O150">
        <v>0</v>
      </c>
    </row>
    <row r="151" spans="1:32" x14ac:dyDescent="0.3">
      <c r="A151" t="s">
        <v>188</v>
      </c>
      <c r="B151" s="1">
        <v>45913</v>
      </c>
      <c r="C151" t="s">
        <v>50</v>
      </c>
      <c r="D151" t="s">
        <v>17</v>
      </c>
      <c r="E151" t="s">
        <v>18</v>
      </c>
      <c r="F151" t="s">
        <v>25</v>
      </c>
      <c r="G151">
        <v>1378.9</v>
      </c>
      <c r="H151">
        <v>3</v>
      </c>
      <c r="I151" s="1">
        <f t="shared" si="4"/>
        <v>45916</v>
      </c>
      <c r="J151" s="1">
        <f t="shared" si="5"/>
        <v>45916</v>
      </c>
      <c r="K151" t="s">
        <v>20</v>
      </c>
      <c r="L151">
        <v>758.89</v>
      </c>
      <c r="M151">
        <v>869.25</v>
      </c>
      <c r="N151">
        <v>1013.8</v>
      </c>
      <c r="O151">
        <v>0</v>
      </c>
    </row>
    <row r="152" spans="1:32" x14ac:dyDescent="0.3">
      <c r="A152" t="s">
        <v>189</v>
      </c>
      <c r="B152" s="1">
        <v>45914</v>
      </c>
      <c r="C152" t="s">
        <v>22</v>
      </c>
      <c r="D152" t="s">
        <v>42</v>
      </c>
      <c r="E152" t="s">
        <v>24</v>
      </c>
      <c r="F152" t="s">
        <v>25</v>
      </c>
      <c r="G152">
        <v>3803.8</v>
      </c>
      <c r="H152">
        <v>10</v>
      </c>
      <c r="I152" s="1">
        <f t="shared" si="4"/>
        <v>45924</v>
      </c>
      <c r="J152" s="1">
        <f t="shared" si="5"/>
        <v>45924</v>
      </c>
      <c r="K152" t="s">
        <v>20</v>
      </c>
      <c r="L152">
        <v>1150.77</v>
      </c>
      <c r="M152">
        <v>1334.3</v>
      </c>
      <c r="N152">
        <v>1710.05</v>
      </c>
      <c r="O152">
        <v>0</v>
      </c>
    </row>
    <row r="153" spans="1:32" x14ac:dyDescent="0.3">
      <c r="A153" t="s">
        <v>190</v>
      </c>
      <c r="B153" s="1">
        <v>45915</v>
      </c>
      <c r="C153" t="s">
        <v>38</v>
      </c>
      <c r="D153" t="s">
        <v>17</v>
      </c>
      <c r="E153" t="s">
        <v>18</v>
      </c>
      <c r="F153" t="s">
        <v>25</v>
      </c>
      <c r="G153">
        <v>7971</v>
      </c>
      <c r="H153">
        <v>3</v>
      </c>
      <c r="I153" s="1">
        <f t="shared" si="4"/>
        <v>45918</v>
      </c>
      <c r="J153" s="1">
        <f t="shared" si="5"/>
        <v>45918</v>
      </c>
      <c r="K153" t="s">
        <v>20</v>
      </c>
      <c r="L153">
        <v>619.65</v>
      </c>
      <c r="M153">
        <v>634.12</v>
      </c>
      <c r="N153">
        <v>787.18</v>
      </c>
      <c r="O153">
        <v>0</v>
      </c>
      <c r="AE153">
        <f>COUNTA(A2:A301)</f>
        <v>300</v>
      </c>
    </row>
    <row r="154" spans="1:32" x14ac:dyDescent="0.3">
      <c r="A154" t="s">
        <v>191</v>
      </c>
      <c r="B154" s="1">
        <v>45916</v>
      </c>
      <c r="C154" t="s">
        <v>16</v>
      </c>
      <c r="D154" t="s">
        <v>23</v>
      </c>
      <c r="E154" t="s">
        <v>24</v>
      </c>
      <c r="F154" t="s">
        <v>25</v>
      </c>
      <c r="G154">
        <v>1459.6</v>
      </c>
      <c r="H154">
        <v>6</v>
      </c>
      <c r="I154" s="1">
        <f t="shared" si="4"/>
        <v>45922</v>
      </c>
      <c r="J154" s="1">
        <f t="shared" si="5"/>
        <v>45922</v>
      </c>
      <c r="K154" t="s">
        <v>20</v>
      </c>
      <c r="L154">
        <v>701.42</v>
      </c>
      <c r="M154">
        <v>762.4</v>
      </c>
      <c r="N154">
        <v>1133.07</v>
      </c>
      <c r="O154">
        <v>0</v>
      </c>
    </row>
    <row r="155" spans="1:32" x14ac:dyDescent="0.3">
      <c r="A155" t="s">
        <v>192</v>
      </c>
      <c r="B155" s="1">
        <v>45917</v>
      </c>
      <c r="C155" t="s">
        <v>38</v>
      </c>
      <c r="D155" t="s">
        <v>69</v>
      </c>
      <c r="E155" t="s">
        <v>29</v>
      </c>
      <c r="F155" t="s">
        <v>25</v>
      </c>
      <c r="G155">
        <v>4382.8999999999996</v>
      </c>
      <c r="H155">
        <v>2</v>
      </c>
      <c r="I155" s="1">
        <f t="shared" si="4"/>
        <v>45919</v>
      </c>
      <c r="J155" s="1">
        <f t="shared" si="5"/>
        <v>45919</v>
      </c>
      <c r="K155" t="s">
        <v>20</v>
      </c>
      <c r="L155">
        <v>219.8</v>
      </c>
      <c r="M155">
        <v>277.25</v>
      </c>
      <c r="N155">
        <v>320.75</v>
      </c>
      <c r="O155">
        <v>0</v>
      </c>
    </row>
    <row r="156" spans="1:32" x14ac:dyDescent="0.3">
      <c r="A156" t="s">
        <v>193</v>
      </c>
      <c r="B156" s="1">
        <v>45918</v>
      </c>
      <c r="C156" t="s">
        <v>16</v>
      </c>
      <c r="D156" t="s">
        <v>28</v>
      </c>
      <c r="E156" t="s">
        <v>29</v>
      </c>
      <c r="F156" t="s">
        <v>25</v>
      </c>
      <c r="G156">
        <v>5267.7</v>
      </c>
      <c r="H156">
        <v>2</v>
      </c>
      <c r="I156" s="1">
        <f t="shared" si="4"/>
        <v>45920</v>
      </c>
      <c r="J156" s="1">
        <f t="shared" si="5"/>
        <v>45922</v>
      </c>
      <c r="K156" t="s">
        <v>20</v>
      </c>
      <c r="L156">
        <v>264.94</v>
      </c>
      <c r="M156">
        <v>307.26</v>
      </c>
      <c r="N156">
        <v>450.81</v>
      </c>
      <c r="O156">
        <v>2</v>
      </c>
    </row>
    <row r="157" spans="1:32" x14ac:dyDescent="0.3">
      <c r="A157" t="s">
        <v>194</v>
      </c>
      <c r="B157" s="1">
        <v>45919</v>
      </c>
      <c r="C157" t="s">
        <v>22</v>
      </c>
      <c r="D157" t="s">
        <v>69</v>
      </c>
      <c r="E157" t="s">
        <v>29</v>
      </c>
      <c r="F157" t="s">
        <v>25</v>
      </c>
      <c r="G157">
        <v>5749.3</v>
      </c>
      <c r="H157">
        <v>2</v>
      </c>
      <c r="I157" s="1">
        <f t="shared" si="4"/>
        <v>45921</v>
      </c>
      <c r="J157" s="1">
        <f t="shared" si="5"/>
        <v>45921</v>
      </c>
      <c r="K157" t="s">
        <v>20</v>
      </c>
      <c r="L157">
        <v>248.48</v>
      </c>
      <c r="M157">
        <v>278.56</v>
      </c>
      <c r="N157">
        <v>335</v>
      </c>
      <c r="O157">
        <v>0</v>
      </c>
    </row>
    <row r="158" spans="1:32" x14ac:dyDescent="0.3">
      <c r="A158" t="s">
        <v>195</v>
      </c>
      <c r="B158" s="1">
        <v>45920</v>
      </c>
      <c r="C158" t="s">
        <v>34</v>
      </c>
      <c r="D158" t="s">
        <v>17</v>
      </c>
      <c r="E158" t="s">
        <v>18</v>
      </c>
      <c r="F158" t="s">
        <v>25</v>
      </c>
      <c r="G158">
        <v>851.4</v>
      </c>
      <c r="H158">
        <v>3</v>
      </c>
      <c r="I158" s="1">
        <f t="shared" si="4"/>
        <v>45923</v>
      </c>
      <c r="J158" s="1">
        <f t="shared" si="5"/>
        <v>45930</v>
      </c>
      <c r="K158" t="s">
        <v>20</v>
      </c>
      <c r="L158">
        <v>625.82000000000005</v>
      </c>
      <c r="M158">
        <v>798.89</v>
      </c>
      <c r="N158">
        <v>959.06</v>
      </c>
      <c r="O158">
        <v>7</v>
      </c>
    </row>
    <row r="159" spans="1:32" x14ac:dyDescent="0.3">
      <c r="A159" t="s">
        <v>196</v>
      </c>
      <c r="B159" s="1">
        <v>45921</v>
      </c>
      <c r="C159" t="s">
        <v>44</v>
      </c>
      <c r="D159" t="s">
        <v>52</v>
      </c>
      <c r="E159" t="s">
        <v>18</v>
      </c>
      <c r="F159" t="s">
        <v>19</v>
      </c>
      <c r="G159">
        <v>6875.3</v>
      </c>
      <c r="H159">
        <v>4</v>
      </c>
      <c r="I159" s="1">
        <f t="shared" si="4"/>
        <v>45925</v>
      </c>
      <c r="J159" s="1">
        <f t="shared" si="5"/>
        <v>45925</v>
      </c>
      <c r="K159" t="s">
        <v>20</v>
      </c>
      <c r="L159">
        <v>856.11</v>
      </c>
      <c r="M159">
        <v>926.81</v>
      </c>
      <c r="N159">
        <v>1213.76</v>
      </c>
      <c r="O159">
        <v>0</v>
      </c>
    </row>
    <row r="160" spans="1:32" x14ac:dyDescent="0.3">
      <c r="A160" t="s">
        <v>197</v>
      </c>
      <c r="B160" s="1">
        <v>45922</v>
      </c>
      <c r="C160" t="s">
        <v>31</v>
      </c>
      <c r="D160" t="s">
        <v>40</v>
      </c>
      <c r="E160" t="s">
        <v>24</v>
      </c>
      <c r="F160" t="s">
        <v>25</v>
      </c>
      <c r="G160">
        <v>2700.6</v>
      </c>
      <c r="H160">
        <v>12</v>
      </c>
      <c r="I160" s="1">
        <f t="shared" si="4"/>
        <v>45934</v>
      </c>
      <c r="J160" s="1">
        <f t="shared" si="5"/>
        <v>45939</v>
      </c>
      <c r="K160" t="s">
        <v>20</v>
      </c>
      <c r="L160">
        <v>1456.1</v>
      </c>
      <c r="M160">
        <v>1540.21</v>
      </c>
      <c r="N160">
        <v>2043.57</v>
      </c>
      <c r="O160">
        <v>5</v>
      </c>
      <c r="AF160">
        <f>COUNTBLANK(A2:A301)</f>
        <v>0</v>
      </c>
    </row>
    <row r="161" spans="1:15" x14ac:dyDescent="0.3">
      <c r="A161" t="s">
        <v>198</v>
      </c>
      <c r="B161" s="1">
        <v>45923</v>
      </c>
      <c r="C161" t="s">
        <v>27</v>
      </c>
      <c r="D161" t="s">
        <v>28</v>
      </c>
      <c r="E161" t="s">
        <v>29</v>
      </c>
      <c r="F161" t="s">
        <v>25</v>
      </c>
      <c r="G161">
        <v>370.4</v>
      </c>
      <c r="H161">
        <v>2</v>
      </c>
      <c r="I161" s="1">
        <f t="shared" si="4"/>
        <v>45925</v>
      </c>
      <c r="J161" s="1">
        <f t="shared" si="5"/>
        <v>45925</v>
      </c>
      <c r="K161" t="s">
        <v>20</v>
      </c>
      <c r="L161">
        <v>280.20999999999998</v>
      </c>
      <c r="M161">
        <v>437.5</v>
      </c>
      <c r="N161">
        <v>386.41</v>
      </c>
      <c r="O161">
        <v>0</v>
      </c>
    </row>
    <row r="162" spans="1:15" x14ac:dyDescent="0.3">
      <c r="A162" t="s">
        <v>199</v>
      </c>
      <c r="B162" s="1">
        <v>45924</v>
      </c>
      <c r="C162" t="s">
        <v>16</v>
      </c>
      <c r="D162" t="s">
        <v>45</v>
      </c>
      <c r="E162" t="s">
        <v>18</v>
      </c>
      <c r="F162" t="s">
        <v>19</v>
      </c>
      <c r="G162">
        <v>966.4</v>
      </c>
      <c r="H162">
        <v>2</v>
      </c>
      <c r="I162" s="1">
        <f t="shared" si="4"/>
        <v>45926</v>
      </c>
      <c r="J162" s="1">
        <f t="shared" si="5"/>
        <v>45928</v>
      </c>
      <c r="K162" t="s">
        <v>20</v>
      </c>
      <c r="L162">
        <v>692.8</v>
      </c>
      <c r="M162">
        <v>876.14</v>
      </c>
      <c r="N162">
        <v>931.82</v>
      </c>
      <c r="O162">
        <v>2</v>
      </c>
    </row>
    <row r="163" spans="1:15" x14ac:dyDescent="0.3">
      <c r="A163" t="s">
        <v>200</v>
      </c>
      <c r="B163" s="1">
        <v>45925</v>
      </c>
      <c r="C163" t="s">
        <v>27</v>
      </c>
      <c r="D163" t="s">
        <v>42</v>
      </c>
      <c r="E163" t="s">
        <v>24</v>
      </c>
      <c r="F163" t="s">
        <v>25</v>
      </c>
      <c r="G163">
        <v>2584</v>
      </c>
      <c r="H163">
        <v>10</v>
      </c>
      <c r="I163" s="1">
        <f t="shared" si="4"/>
        <v>45935</v>
      </c>
      <c r="J163" s="1">
        <f t="shared" si="5"/>
        <v>45935</v>
      </c>
      <c r="K163" t="s">
        <v>20</v>
      </c>
      <c r="L163">
        <v>1436.16</v>
      </c>
      <c r="M163">
        <v>1591.52</v>
      </c>
      <c r="N163">
        <v>2310.4899999999998</v>
      </c>
      <c r="O163">
        <v>0</v>
      </c>
    </row>
    <row r="164" spans="1:15" x14ac:dyDescent="0.3">
      <c r="A164" t="s">
        <v>201</v>
      </c>
      <c r="B164" s="1">
        <v>45926</v>
      </c>
      <c r="C164" t="s">
        <v>16</v>
      </c>
      <c r="D164" t="s">
        <v>69</v>
      </c>
      <c r="E164" t="s">
        <v>29</v>
      </c>
      <c r="F164" t="s">
        <v>25</v>
      </c>
      <c r="G164">
        <v>6953.9</v>
      </c>
      <c r="H164">
        <v>2</v>
      </c>
      <c r="I164" s="1">
        <f t="shared" si="4"/>
        <v>45928</v>
      </c>
      <c r="J164" s="1">
        <f t="shared" si="5"/>
        <v>45928</v>
      </c>
      <c r="K164" t="s">
        <v>20</v>
      </c>
      <c r="L164">
        <v>255</v>
      </c>
      <c r="M164">
        <v>260.81</v>
      </c>
      <c r="N164">
        <v>366.6</v>
      </c>
      <c r="O164">
        <v>0</v>
      </c>
    </row>
    <row r="165" spans="1:15" x14ac:dyDescent="0.3">
      <c r="A165" t="s">
        <v>202</v>
      </c>
      <c r="B165" s="1">
        <v>45927</v>
      </c>
      <c r="C165" t="s">
        <v>44</v>
      </c>
      <c r="D165" t="s">
        <v>42</v>
      </c>
      <c r="E165" t="s">
        <v>24</v>
      </c>
      <c r="F165" t="s">
        <v>19</v>
      </c>
      <c r="G165">
        <v>1366.1</v>
      </c>
      <c r="H165">
        <v>10</v>
      </c>
      <c r="I165" s="1">
        <f t="shared" si="4"/>
        <v>45937</v>
      </c>
      <c r="J165" s="1">
        <f t="shared" si="5"/>
        <v>45937</v>
      </c>
      <c r="K165" t="s">
        <v>20</v>
      </c>
      <c r="L165">
        <v>1238.9100000000001</v>
      </c>
      <c r="M165">
        <v>1403.37</v>
      </c>
      <c r="N165">
        <v>2025.29</v>
      </c>
      <c r="O165">
        <v>0</v>
      </c>
    </row>
    <row r="166" spans="1:15" x14ac:dyDescent="0.3">
      <c r="A166" t="s">
        <v>203</v>
      </c>
      <c r="B166" s="1">
        <v>45928</v>
      </c>
      <c r="C166" t="s">
        <v>31</v>
      </c>
      <c r="D166" t="s">
        <v>17</v>
      </c>
      <c r="E166" t="s">
        <v>18</v>
      </c>
      <c r="F166" t="s">
        <v>19</v>
      </c>
      <c r="G166">
        <v>7830.8</v>
      </c>
      <c r="H166">
        <v>3</v>
      </c>
      <c r="I166" s="1">
        <f t="shared" si="4"/>
        <v>45931</v>
      </c>
      <c r="J166" s="1">
        <f t="shared" si="5"/>
        <v>45931</v>
      </c>
      <c r="K166" t="s">
        <v>20</v>
      </c>
      <c r="L166">
        <v>845.37</v>
      </c>
      <c r="M166">
        <v>886.24</v>
      </c>
      <c r="N166">
        <v>1253.72</v>
      </c>
      <c r="O166">
        <v>0</v>
      </c>
    </row>
    <row r="167" spans="1:15" x14ac:dyDescent="0.3">
      <c r="A167" t="s">
        <v>204</v>
      </c>
      <c r="B167" s="1">
        <v>45929</v>
      </c>
      <c r="C167" t="s">
        <v>34</v>
      </c>
      <c r="D167" t="s">
        <v>42</v>
      </c>
      <c r="E167" t="s">
        <v>24</v>
      </c>
      <c r="F167" t="s">
        <v>25</v>
      </c>
      <c r="G167">
        <v>5541.1</v>
      </c>
      <c r="H167">
        <v>10</v>
      </c>
      <c r="I167" s="1">
        <f t="shared" si="4"/>
        <v>45939</v>
      </c>
      <c r="J167" s="1">
        <f t="shared" si="5"/>
        <v>45942</v>
      </c>
      <c r="K167" t="s">
        <v>20</v>
      </c>
      <c r="L167">
        <v>1569.58</v>
      </c>
      <c r="M167">
        <v>1793.97</v>
      </c>
      <c r="N167">
        <v>2731.1</v>
      </c>
      <c r="O167">
        <v>3</v>
      </c>
    </row>
    <row r="168" spans="1:15" x14ac:dyDescent="0.3">
      <c r="A168" t="s">
        <v>205</v>
      </c>
      <c r="B168" s="1">
        <v>45930</v>
      </c>
      <c r="C168" t="s">
        <v>44</v>
      </c>
      <c r="D168" t="s">
        <v>23</v>
      </c>
      <c r="E168" t="s">
        <v>24</v>
      </c>
      <c r="F168" t="s">
        <v>19</v>
      </c>
      <c r="G168">
        <v>4871.2</v>
      </c>
      <c r="H168">
        <v>6</v>
      </c>
      <c r="I168" s="1">
        <f t="shared" si="4"/>
        <v>45936</v>
      </c>
      <c r="J168" s="1">
        <f t="shared" si="5"/>
        <v>45936</v>
      </c>
      <c r="K168" t="s">
        <v>20</v>
      </c>
      <c r="L168">
        <v>852.58</v>
      </c>
      <c r="M168">
        <v>924.18</v>
      </c>
      <c r="N168">
        <v>1073.1400000000001</v>
      </c>
      <c r="O168">
        <v>0</v>
      </c>
    </row>
    <row r="169" spans="1:15" x14ac:dyDescent="0.3">
      <c r="A169" t="s">
        <v>206</v>
      </c>
      <c r="B169" s="1">
        <v>45931</v>
      </c>
      <c r="C169" t="s">
        <v>27</v>
      </c>
      <c r="D169" t="s">
        <v>40</v>
      </c>
      <c r="E169" t="s">
        <v>24</v>
      </c>
      <c r="F169" t="s">
        <v>25</v>
      </c>
      <c r="G169">
        <v>5232.1000000000004</v>
      </c>
      <c r="H169">
        <v>12</v>
      </c>
      <c r="I169" s="1">
        <f t="shared" si="4"/>
        <v>45943</v>
      </c>
      <c r="J169" s="1">
        <f t="shared" si="5"/>
        <v>45947</v>
      </c>
      <c r="K169" t="s">
        <v>20</v>
      </c>
      <c r="L169">
        <v>1670.51</v>
      </c>
      <c r="M169">
        <v>1855.47</v>
      </c>
      <c r="N169">
        <v>2214.77</v>
      </c>
      <c r="O169">
        <v>4</v>
      </c>
    </row>
    <row r="170" spans="1:15" x14ac:dyDescent="0.3">
      <c r="A170" t="s">
        <v>207</v>
      </c>
      <c r="B170" s="1">
        <v>45932</v>
      </c>
      <c r="C170" t="s">
        <v>22</v>
      </c>
      <c r="D170" t="s">
        <v>32</v>
      </c>
      <c r="E170" t="s">
        <v>24</v>
      </c>
      <c r="F170" t="s">
        <v>19</v>
      </c>
      <c r="G170">
        <v>3055.3</v>
      </c>
      <c r="H170">
        <v>14</v>
      </c>
      <c r="I170" s="1">
        <f t="shared" si="4"/>
        <v>45946</v>
      </c>
      <c r="J170" s="1">
        <f t="shared" si="5"/>
        <v>45949</v>
      </c>
      <c r="K170" t="s">
        <v>20</v>
      </c>
      <c r="L170">
        <v>2114.6</v>
      </c>
      <c r="M170">
        <v>2426.8200000000002</v>
      </c>
      <c r="N170">
        <v>3634.31</v>
      </c>
      <c r="O170">
        <v>3</v>
      </c>
    </row>
    <row r="171" spans="1:15" x14ac:dyDescent="0.3">
      <c r="A171" t="s">
        <v>208</v>
      </c>
      <c r="B171" s="1">
        <v>45933</v>
      </c>
      <c r="C171" t="s">
        <v>27</v>
      </c>
      <c r="D171" t="s">
        <v>17</v>
      </c>
      <c r="E171" t="s">
        <v>18</v>
      </c>
      <c r="F171" t="s">
        <v>25</v>
      </c>
      <c r="G171">
        <v>4424.1000000000004</v>
      </c>
      <c r="H171">
        <v>3</v>
      </c>
      <c r="I171" s="1">
        <f t="shared" si="4"/>
        <v>45936</v>
      </c>
      <c r="J171" s="1">
        <f t="shared" si="5"/>
        <v>45936</v>
      </c>
      <c r="K171" t="s">
        <v>20</v>
      </c>
      <c r="L171">
        <v>685.08</v>
      </c>
      <c r="M171">
        <v>817.21</v>
      </c>
      <c r="N171">
        <v>966.48</v>
      </c>
      <c r="O171">
        <v>0</v>
      </c>
    </row>
    <row r="172" spans="1:15" x14ac:dyDescent="0.3">
      <c r="A172" t="s">
        <v>209</v>
      </c>
      <c r="B172" s="1">
        <v>45934</v>
      </c>
      <c r="C172" t="s">
        <v>50</v>
      </c>
      <c r="D172" t="s">
        <v>40</v>
      </c>
      <c r="E172" t="s">
        <v>24</v>
      </c>
      <c r="F172" t="s">
        <v>25</v>
      </c>
      <c r="G172">
        <v>4043.5</v>
      </c>
      <c r="H172">
        <v>12</v>
      </c>
      <c r="I172" s="1">
        <f t="shared" si="4"/>
        <v>45946</v>
      </c>
      <c r="J172" s="1">
        <f t="shared" si="5"/>
        <v>45946</v>
      </c>
      <c r="K172" t="s">
        <v>20</v>
      </c>
      <c r="L172">
        <v>1553.75</v>
      </c>
      <c r="M172">
        <v>1750.94</v>
      </c>
      <c r="N172">
        <v>2545.41</v>
      </c>
      <c r="O172">
        <v>0</v>
      </c>
    </row>
    <row r="173" spans="1:15" x14ac:dyDescent="0.3">
      <c r="A173" t="s">
        <v>210</v>
      </c>
      <c r="B173" s="1">
        <v>45935</v>
      </c>
      <c r="C173" t="s">
        <v>31</v>
      </c>
      <c r="D173" t="s">
        <v>52</v>
      </c>
      <c r="E173" t="s">
        <v>18</v>
      </c>
      <c r="F173" t="s">
        <v>25</v>
      </c>
      <c r="G173">
        <v>3855.4</v>
      </c>
      <c r="H173">
        <v>4</v>
      </c>
      <c r="I173" s="1">
        <f t="shared" si="4"/>
        <v>45939</v>
      </c>
      <c r="J173" s="1">
        <f t="shared" si="5"/>
        <v>45942</v>
      </c>
      <c r="K173" t="s">
        <v>20</v>
      </c>
      <c r="L173">
        <v>832.03</v>
      </c>
      <c r="M173">
        <v>943.51</v>
      </c>
      <c r="N173">
        <v>1084.27</v>
      </c>
      <c r="O173">
        <v>3</v>
      </c>
    </row>
    <row r="174" spans="1:15" x14ac:dyDescent="0.3">
      <c r="A174" t="s">
        <v>211</v>
      </c>
      <c r="B174" s="1">
        <v>45936</v>
      </c>
      <c r="C174" t="s">
        <v>22</v>
      </c>
      <c r="D174" t="s">
        <v>17</v>
      </c>
      <c r="E174" t="s">
        <v>18</v>
      </c>
      <c r="F174" t="s">
        <v>25</v>
      </c>
      <c r="G174">
        <v>5265.2</v>
      </c>
      <c r="H174">
        <v>3</v>
      </c>
      <c r="I174" s="1">
        <f t="shared" si="4"/>
        <v>45939</v>
      </c>
      <c r="J174" s="1">
        <f t="shared" si="5"/>
        <v>45939</v>
      </c>
      <c r="K174" t="s">
        <v>20</v>
      </c>
      <c r="L174">
        <v>570.41999999999996</v>
      </c>
      <c r="M174">
        <v>680.92</v>
      </c>
      <c r="N174">
        <v>981.8</v>
      </c>
      <c r="O174">
        <v>0</v>
      </c>
    </row>
    <row r="175" spans="1:15" x14ac:dyDescent="0.3">
      <c r="A175" t="s">
        <v>212</v>
      </c>
      <c r="B175" s="1">
        <v>45937</v>
      </c>
      <c r="C175" t="s">
        <v>38</v>
      </c>
      <c r="D175" t="s">
        <v>32</v>
      </c>
      <c r="E175" t="s">
        <v>24</v>
      </c>
      <c r="F175" t="s">
        <v>25</v>
      </c>
      <c r="G175">
        <v>2513.6999999999998</v>
      </c>
      <c r="H175">
        <v>14</v>
      </c>
      <c r="I175" s="1">
        <f t="shared" si="4"/>
        <v>45951</v>
      </c>
      <c r="J175" s="1">
        <f t="shared" si="5"/>
        <v>45951</v>
      </c>
      <c r="K175" t="s">
        <v>20</v>
      </c>
      <c r="L175">
        <v>1564.43</v>
      </c>
      <c r="M175">
        <v>1792.34</v>
      </c>
      <c r="N175">
        <v>2170.63</v>
      </c>
      <c r="O175">
        <v>0</v>
      </c>
    </row>
    <row r="176" spans="1:15" x14ac:dyDescent="0.3">
      <c r="A176" t="s">
        <v>213</v>
      </c>
      <c r="B176" s="1">
        <v>45938</v>
      </c>
      <c r="C176" t="s">
        <v>31</v>
      </c>
      <c r="D176" t="s">
        <v>23</v>
      </c>
      <c r="E176" t="s">
        <v>24</v>
      </c>
      <c r="F176" t="s">
        <v>19</v>
      </c>
      <c r="G176">
        <v>1045.3</v>
      </c>
      <c r="H176">
        <v>6</v>
      </c>
      <c r="I176" s="1">
        <f t="shared" si="4"/>
        <v>45944</v>
      </c>
      <c r="J176" s="1">
        <f t="shared" si="5"/>
        <v>45944</v>
      </c>
      <c r="K176" t="s">
        <v>20</v>
      </c>
      <c r="L176">
        <v>875.89</v>
      </c>
      <c r="M176">
        <v>1024.45</v>
      </c>
      <c r="N176">
        <v>1248.93</v>
      </c>
      <c r="O176">
        <v>0</v>
      </c>
    </row>
    <row r="177" spans="1:15" x14ac:dyDescent="0.3">
      <c r="A177" t="s">
        <v>214</v>
      </c>
      <c r="B177" s="1">
        <v>45939</v>
      </c>
      <c r="C177" t="s">
        <v>44</v>
      </c>
      <c r="D177" t="s">
        <v>69</v>
      </c>
      <c r="E177" t="s">
        <v>29</v>
      </c>
      <c r="F177" t="s">
        <v>19</v>
      </c>
      <c r="G177">
        <v>3442.3</v>
      </c>
      <c r="H177">
        <v>2</v>
      </c>
      <c r="I177" s="1">
        <f t="shared" si="4"/>
        <v>45941</v>
      </c>
      <c r="J177" s="1">
        <f t="shared" si="5"/>
        <v>45942</v>
      </c>
      <c r="K177" t="s">
        <v>20</v>
      </c>
      <c r="L177">
        <v>195.06</v>
      </c>
      <c r="M177">
        <v>216.67</v>
      </c>
      <c r="N177">
        <v>328.71</v>
      </c>
      <c r="O177">
        <v>1</v>
      </c>
    </row>
    <row r="178" spans="1:15" x14ac:dyDescent="0.3">
      <c r="A178" t="s">
        <v>215</v>
      </c>
      <c r="B178" s="1">
        <v>45940</v>
      </c>
      <c r="C178" t="s">
        <v>27</v>
      </c>
      <c r="D178" t="s">
        <v>64</v>
      </c>
      <c r="E178" t="s">
        <v>18</v>
      </c>
      <c r="F178" t="s">
        <v>19</v>
      </c>
      <c r="G178">
        <v>7082.9</v>
      </c>
      <c r="H178">
        <v>2</v>
      </c>
      <c r="I178" s="1">
        <f t="shared" si="4"/>
        <v>45942</v>
      </c>
      <c r="J178" s="1">
        <f t="shared" si="5"/>
        <v>45942</v>
      </c>
      <c r="K178" t="s">
        <v>20</v>
      </c>
      <c r="L178">
        <v>585.86</v>
      </c>
      <c r="M178">
        <v>806.75</v>
      </c>
      <c r="N178">
        <v>1014.8</v>
      </c>
      <c r="O178">
        <v>0</v>
      </c>
    </row>
    <row r="179" spans="1:15" x14ac:dyDescent="0.3">
      <c r="A179" t="s">
        <v>216</v>
      </c>
      <c r="B179" s="1">
        <v>45941</v>
      </c>
      <c r="C179" t="s">
        <v>44</v>
      </c>
      <c r="D179" t="s">
        <v>28</v>
      </c>
      <c r="E179" t="s">
        <v>29</v>
      </c>
      <c r="F179" t="s">
        <v>19</v>
      </c>
      <c r="G179">
        <v>6261.8</v>
      </c>
      <c r="H179">
        <v>2</v>
      </c>
      <c r="I179" s="1">
        <f t="shared" si="4"/>
        <v>45943</v>
      </c>
      <c r="J179" s="1">
        <f t="shared" si="5"/>
        <v>45943</v>
      </c>
      <c r="K179" t="s">
        <v>20</v>
      </c>
      <c r="L179">
        <v>250.21</v>
      </c>
      <c r="M179">
        <v>291.48</v>
      </c>
      <c r="N179">
        <v>362.82</v>
      </c>
      <c r="O179">
        <v>0</v>
      </c>
    </row>
    <row r="180" spans="1:15" x14ac:dyDescent="0.3">
      <c r="A180" t="s">
        <v>217</v>
      </c>
      <c r="B180" s="1">
        <v>45942</v>
      </c>
      <c r="C180" t="s">
        <v>16</v>
      </c>
      <c r="D180" t="s">
        <v>23</v>
      </c>
      <c r="E180" t="s">
        <v>24</v>
      </c>
      <c r="F180" t="s">
        <v>19</v>
      </c>
      <c r="G180">
        <v>4725.8999999999996</v>
      </c>
      <c r="H180">
        <v>6</v>
      </c>
      <c r="I180" s="1">
        <f t="shared" si="4"/>
        <v>45948</v>
      </c>
      <c r="J180" s="1">
        <f t="shared" si="5"/>
        <v>45949</v>
      </c>
      <c r="K180" t="s">
        <v>20</v>
      </c>
      <c r="L180">
        <v>908.15</v>
      </c>
      <c r="M180">
        <v>1037.71</v>
      </c>
      <c r="N180">
        <v>1380.88</v>
      </c>
      <c r="O180">
        <v>1</v>
      </c>
    </row>
    <row r="181" spans="1:15" x14ac:dyDescent="0.3">
      <c r="A181" t="s">
        <v>218</v>
      </c>
      <c r="B181" s="1">
        <v>45943</v>
      </c>
      <c r="C181" t="s">
        <v>16</v>
      </c>
      <c r="D181" t="s">
        <v>23</v>
      </c>
      <c r="E181" t="s">
        <v>24</v>
      </c>
      <c r="F181" t="s">
        <v>25</v>
      </c>
      <c r="G181">
        <v>4888.2</v>
      </c>
      <c r="H181">
        <v>6</v>
      </c>
      <c r="I181" s="1">
        <f t="shared" si="4"/>
        <v>45949</v>
      </c>
      <c r="J181" s="1">
        <f t="shared" si="5"/>
        <v>45949</v>
      </c>
      <c r="K181" t="s">
        <v>20</v>
      </c>
      <c r="L181">
        <v>811.91</v>
      </c>
      <c r="M181">
        <v>926.33</v>
      </c>
      <c r="N181">
        <v>1197.6400000000001</v>
      </c>
      <c r="O181">
        <v>0</v>
      </c>
    </row>
    <row r="182" spans="1:15" x14ac:dyDescent="0.3">
      <c r="A182" t="s">
        <v>219</v>
      </c>
      <c r="B182" s="1">
        <v>45944</v>
      </c>
      <c r="C182" t="s">
        <v>27</v>
      </c>
      <c r="D182" t="s">
        <v>69</v>
      </c>
      <c r="E182" t="s">
        <v>29</v>
      </c>
      <c r="F182" t="s">
        <v>25</v>
      </c>
      <c r="G182">
        <v>5432.7</v>
      </c>
      <c r="H182">
        <v>2</v>
      </c>
      <c r="I182" s="1">
        <f t="shared" si="4"/>
        <v>45946</v>
      </c>
      <c r="J182" s="1">
        <f t="shared" si="5"/>
        <v>45947</v>
      </c>
      <c r="K182" t="s">
        <v>20</v>
      </c>
      <c r="L182">
        <v>190.05</v>
      </c>
      <c r="M182">
        <v>198.16</v>
      </c>
      <c r="N182">
        <v>275.20999999999998</v>
      </c>
      <c r="O182">
        <v>1</v>
      </c>
    </row>
    <row r="183" spans="1:15" x14ac:dyDescent="0.3">
      <c r="A183" t="s">
        <v>220</v>
      </c>
      <c r="B183" s="1">
        <v>45945</v>
      </c>
      <c r="C183" t="s">
        <v>27</v>
      </c>
      <c r="D183" t="s">
        <v>17</v>
      </c>
      <c r="E183" t="s">
        <v>18</v>
      </c>
      <c r="F183" t="s">
        <v>19</v>
      </c>
      <c r="G183">
        <v>4660.8</v>
      </c>
      <c r="H183">
        <v>3</v>
      </c>
      <c r="I183" s="1">
        <f t="shared" si="4"/>
        <v>45948</v>
      </c>
      <c r="J183" s="1">
        <f t="shared" si="5"/>
        <v>45948</v>
      </c>
      <c r="K183" t="s">
        <v>20</v>
      </c>
      <c r="L183">
        <v>676.98</v>
      </c>
      <c r="M183">
        <v>819.2</v>
      </c>
      <c r="N183">
        <v>1121.8399999999999</v>
      </c>
      <c r="O183">
        <v>0</v>
      </c>
    </row>
    <row r="184" spans="1:15" x14ac:dyDescent="0.3">
      <c r="A184" t="s">
        <v>221</v>
      </c>
      <c r="B184" s="1">
        <v>45946</v>
      </c>
      <c r="C184" t="s">
        <v>31</v>
      </c>
      <c r="D184" t="s">
        <v>32</v>
      </c>
      <c r="E184" t="s">
        <v>24</v>
      </c>
      <c r="F184" t="s">
        <v>25</v>
      </c>
      <c r="G184">
        <v>4967.8999999999996</v>
      </c>
      <c r="H184">
        <v>14</v>
      </c>
      <c r="I184" s="1">
        <f t="shared" si="4"/>
        <v>45960</v>
      </c>
      <c r="J184" s="1">
        <f t="shared" si="5"/>
        <v>45964</v>
      </c>
      <c r="K184" t="s">
        <v>20</v>
      </c>
      <c r="L184">
        <v>1639.73</v>
      </c>
      <c r="M184">
        <v>1757.36</v>
      </c>
      <c r="N184">
        <v>2262.4699999999998</v>
      </c>
      <c r="O184">
        <v>4</v>
      </c>
    </row>
    <row r="185" spans="1:15" x14ac:dyDescent="0.3">
      <c r="A185" t="s">
        <v>222</v>
      </c>
      <c r="B185" s="1">
        <v>45947</v>
      </c>
      <c r="C185" t="s">
        <v>16</v>
      </c>
      <c r="D185" t="s">
        <v>42</v>
      </c>
      <c r="E185" t="s">
        <v>24</v>
      </c>
      <c r="F185" t="s">
        <v>25</v>
      </c>
      <c r="G185">
        <v>1908.2</v>
      </c>
      <c r="H185">
        <v>10</v>
      </c>
      <c r="I185" s="1">
        <f t="shared" si="4"/>
        <v>45957</v>
      </c>
      <c r="J185" s="1">
        <f t="shared" si="5"/>
        <v>45957</v>
      </c>
      <c r="K185" t="s">
        <v>20</v>
      </c>
      <c r="L185">
        <v>1436.26</v>
      </c>
      <c r="M185">
        <v>1527.3</v>
      </c>
      <c r="N185">
        <v>2171.89</v>
      </c>
      <c r="O185">
        <v>0</v>
      </c>
    </row>
    <row r="186" spans="1:15" x14ac:dyDescent="0.3">
      <c r="A186" t="s">
        <v>223</v>
      </c>
      <c r="B186" s="1">
        <v>45948</v>
      </c>
      <c r="C186" t="s">
        <v>22</v>
      </c>
      <c r="D186" t="s">
        <v>64</v>
      </c>
      <c r="E186" t="s">
        <v>18</v>
      </c>
      <c r="F186" t="s">
        <v>25</v>
      </c>
      <c r="G186">
        <v>2721.9</v>
      </c>
      <c r="H186">
        <v>2</v>
      </c>
      <c r="I186" s="1">
        <f t="shared" si="4"/>
        <v>45950</v>
      </c>
      <c r="J186" s="1">
        <f t="shared" si="5"/>
        <v>45957</v>
      </c>
      <c r="K186" t="s">
        <v>20</v>
      </c>
      <c r="L186">
        <v>592.83000000000004</v>
      </c>
      <c r="M186">
        <v>657.59</v>
      </c>
      <c r="N186">
        <v>873.64</v>
      </c>
      <c r="O186">
        <v>7</v>
      </c>
    </row>
    <row r="187" spans="1:15" x14ac:dyDescent="0.3">
      <c r="A187" t="s">
        <v>224</v>
      </c>
      <c r="B187" s="1">
        <v>45949</v>
      </c>
      <c r="C187" t="s">
        <v>16</v>
      </c>
      <c r="D187" t="s">
        <v>69</v>
      </c>
      <c r="E187" t="s">
        <v>29</v>
      </c>
      <c r="F187" t="s">
        <v>25</v>
      </c>
      <c r="G187">
        <v>5346.1</v>
      </c>
      <c r="H187">
        <v>2</v>
      </c>
      <c r="I187" s="1">
        <f t="shared" si="4"/>
        <v>45951</v>
      </c>
      <c r="J187" s="1">
        <f t="shared" si="5"/>
        <v>45951</v>
      </c>
      <c r="K187" t="s">
        <v>20</v>
      </c>
      <c r="L187">
        <v>227.75</v>
      </c>
      <c r="M187">
        <v>302.25</v>
      </c>
      <c r="N187">
        <v>338.05</v>
      </c>
      <c r="O187">
        <v>0</v>
      </c>
    </row>
    <row r="188" spans="1:15" x14ac:dyDescent="0.3">
      <c r="A188" t="s">
        <v>225</v>
      </c>
      <c r="B188" s="1">
        <v>45950</v>
      </c>
      <c r="C188" t="s">
        <v>16</v>
      </c>
      <c r="D188" t="s">
        <v>17</v>
      </c>
      <c r="E188" t="s">
        <v>18</v>
      </c>
      <c r="F188" t="s">
        <v>19</v>
      </c>
      <c r="G188">
        <v>5398.7</v>
      </c>
      <c r="H188">
        <v>3</v>
      </c>
      <c r="I188" s="1">
        <f t="shared" si="4"/>
        <v>45953</v>
      </c>
      <c r="J188" s="1">
        <f t="shared" si="5"/>
        <v>45953</v>
      </c>
      <c r="K188" t="s">
        <v>20</v>
      </c>
      <c r="L188">
        <v>885.1</v>
      </c>
      <c r="M188">
        <v>1074.08</v>
      </c>
      <c r="N188">
        <v>1289.97</v>
      </c>
      <c r="O188">
        <v>0</v>
      </c>
    </row>
    <row r="189" spans="1:15" x14ac:dyDescent="0.3">
      <c r="A189" t="s">
        <v>226</v>
      </c>
      <c r="B189" s="1">
        <v>45951</v>
      </c>
      <c r="C189" t="s">
        <v>34</v>
      </c>
      <c r="D189" t="s">
        <v>64</v>
      </c>
      <c r="E189" t="s">
        <v>18</v>
      </c>
      <c r="F189" t="s">
        <v>19</v>
      </c>
      <c r="G189">
        <v>366.4</v>
      </c>
      <c r="H189">
        <v>2</v>
      </c>
      <c r="I189" s="1">
        <f t="shared" si="4"/>
        <v>45953</v>
      </c>
      <c r="J189" s="1">
        <f t="shared" si="5"/>
        <v>45956</v>
      </c>
      <c r="K189" t="s">
        <v>20</v>
      </c>
      <c r="L189">
        <v>579.86</v>
      </c>
      <c r="M189">
        <v>678.48</v>
      </c>
      <c r="N189">
        <v>915.26</v>
      </c>
      <c r="O189">
        <v>3</v>
      </c>
    </row>
    <row r="190" spans="1:15" x14ac:dyDescent="0.3">
      <c r="A190" t="s">
        <v>227</v>
      </c>
      <c r="B190" s="1">
        <v>45952</v>
      </c>
      <c r="C190" t="s">
        <v>38</v>
      </c>
      <c r="D190" t="s">
        <v>42</v>
      </c>
      <c r="E190" t="s">
        <v>24</v>
      </c>
      <c r="F190" t="s">
        <v>25</v>
      </c>
      <c r="G190">
        <v>3224.1</v>
      </c>
      <c r="H190">
        <v>10</v>
      </c>
      <c r="I190" s="1">
        <f t="shared" si="4"/>
        <v>45962</v>
      </c>
      <c r="J190" s="1">
        <f t="shared" si="5"/>
        <v>45962</v>
      </c>
      <c r="K190" t="s">
        <v>20</v>
      </c>
      <c r="L190">
        <v>1261.72</v>
      </c>
      <c r="M190">
        <v>1335.21</v>
      </c>
      <c r="N190">
        <v>1698.67</v>
      </c>
      <c r="O190">
        <v>0</v>
      </c>
    </row>
    <row r="191" spans="1:15" x14ac:dyDescent="0.3">
      <c r="A191" t="s">
        <v>228</v>
      </c>
      <c r="B191" s="1">
        <v>45953</v>
      </c>
      <c r="C191" t="s">
        <v>34</v>
      </c>
      <c r="D191" t="s">
        <v>32</v>
      </c>
      <c r="E191" t="s">
        <v>24</v>
      </c>
      <c r="F191" t="s">
        <v>25</v>
      </c>
      <c r="G191">
        <v>3225.7</v>
      </c>
      <c r="H191">
        <v>14</v>
      </c>
      <c r="I191" s="1">
        <f t="shared" si="4"/>
        <v>45967</v>
      </c>
      <c r="J191" s="1" t="str">
        <f t="shared" si="5"/>
        <v/>
      </c>
      <c r="K191" t="s">
        <v>229</v>
      </c>
      <c r="L191">
        <v>2305.9699999999998</v>
      </c>
      <c r="M191">
        <v>2666.23</v>
      </c>
      <c r="N191">
        <v>3600.64</v>
      </c>
    </row>
    <row r="192" spans="1:15" x14ac:dyDescent="0.3">
      <c r="A192" t="s">
        <v>230</v>
      </c>
      <c r="B192" s="1">
        <v>45954</v>
      </c>
      <c r="C192" t="s">
        <v>22</v>
      </c>
      <c r="D192" t="s">
        <v>23</v>
      </c>
      <c r="E192" t="s">
        <v>24</v>
      </c>
      <c r="F192" t="s">
        <v>19</v>
      </c>
      <c r="G192">
        <v>2634.4</v>
      </c>
      <c r="H192">
        <v>6</v>
      </c>
      <c r="I192" s="1">
        <f t="shared" si="4"/>
        <v>45960</v>
      </c>
      <c r="J192" s="1">
        <f t="shared" si="5"/>
        <v>45960</v>
      </c>
      <c r="K192" t="s">
        <v>20</v>
      </c>
      <c r="L192">
        <v>877.22</v>
      </c>
      <c r="M192">
        <v>954.59</v>
      </c>
      <c r="N192">
        <v>1351.31</v>
      </c>
      <c r="O192">
        <v>0</v>
      </c>
    </row>
    <row r="193" spans="1:15" x14ac:dyDescent="0.3">
      <c r="A193" t="s">
        <v>231</v>
      </c>
      <c r="B193" s="1">
        <v>45955</v>
      </c>
      <c r="C193" t="s">
        <v>50</v>
      </c>
      <c r="D193" t="s">
        <v>42</v>
      </c>
      <c r="E193" t="s">
        <v>24</v>
      </c>
      <c r="F193" t="s">
        <v>25</v>
      </c>
      <c r="G193">
        <v>2564.6999999999998</v>
      </c>
      <c r="H193">
        <v>10</v>
      </c>
      <c r="I193" s="1">
        <f t="shared" si="4"/>
        <v>45965</v>
      </c>
      <c r="J193" s="1">
        <f t="shared" si="5"/>
        <v>45972</v>
      </c>
      <c r="K193" t="s">
        <v>20</v>
      </c>
      <c r="L193">
        <v>1436.74</v>
      </c>
      <c r="M193">
        <v>1654.54</v>
      </c>
      <c r="N193">
        <v>2219.9699999999998</v>
      </c>
      <c r="O193">
        <v>7</v>
      </c>
    </row>
    <row r="194" spans="1:15" x14ac:dyDescent="0.3">
      <c r="A194" t="s">
        <v>232</v>
      </c>
      <c r="B194" s="1">
        <v>45956</v>
      </c>
      <c r="C194" t="s">
        <v>22</v>
      </c>
      <c r="D194" t="s">
        <v>40</v>
      </c>
      <c r="E194" t="s">
        <v>24</v>
      </c>
      <c r="F194" t="s">
        <v>25</v>
      </c>
      <c r="G194">
        <v>1044.4000000000001</v>
      </c>
      <c r="H194">
        <v>12</v>
      </c>
      <c r="I194" s="1">
        <f t="shared" si="4"/>
        <v>45968</v>
      </c>
      <c r="J194" s="1">
        <f t="shared" si="5"/>
        <v>45968</v>
      </c>
      <c r="K194" t="s">
        <v>20</v>
      </c>
      <c r="L194">
        <v>1487.92</v>
      </c>
      <c r="M194">
        <v>1612.59</v>
      </c>
      <c r="N194">
        <v>2284.27</v>
      </c>
      <c r="O194">
        <v>0</v>
      </c>
    </row>
    <row r="195" spans="1:15" x14ac:dyDescent="0.3">
      <c r="A195" t="s">
        <v>233</v>
      </c>
      <c r="B195" s="1">
        <v>45957</v>
      </c>
      <c r="C195" t="s">
        <v>27</v>
      </c>
      <c r="D195" t="s">
        <v>32</v>
      </c>
      <c r="E195" t="s">
        <v>24</v>
      </c>
      <c r="F195" t="s">
        <v>25</v>
      </c>
      <c r="G195">
        <v>4088.6</v>
      </c>
      <c r="H195">
        <v>14</v>
      </c>
      <c r="I195" s="1">
        <f t="shared" ref="I195:I258" si="6">B195+H195</f>
        <v>45971</v>
      </c>
      <c r="J195" s="1">
        <f t="shared" ref="J195:J258" si="7">IF(O195="","",I195+O195)</f>
        <v>45976</v>
      </c>
      <c r="K195" t="s">
        <v>20</v>
      </c>
      <c r="L195">
        <v>1937.48</v>
      </c>
      <c r="M195">
        <v>2315.64</v>
      </c>
      <c r="N195">
        <v>2900.81</v>
      </c>
      <c r="O195">
        <v>5</v>
      </c>
    </row>
    <row r="196" spans="1:15" x14ac:dyDescent="0.3">
      <c r="A196" t="s">
        <v>234</v>
      </c>
      <c r="B196" s="1">
        <v>45958</v>
      </c>
      <c r="C196" t="s">
        <v>31</v>
      </c>
      <c r="D196" t="s">
        <v>64</v>
      </c>
      <c r="E196" t="s">
        <v>18</v>
      </c>
      <c r="F196" t="s">
        <v>19</v>
      </c>
      <c r="G196">
        <v>1598.9</v>
      </c>
      <c r="H196">
        <v>2</v>
      </c>
      <c r="I196" s="1">
        <f t="shared" si="6"/>
        <v>45960</v>
      </c>
      <c r="J196" s="1">
        <f t="shared" si="7"/>
        <v>45960</v>
      </c>
      <c r="K196" t="s">
        <v>20</v>
      </c>
      <c r="L196">
        <v>590</v>
      </c>
      <c r="M196">
        <v>616.15</v>
      </c>
      <c r="N196">
        <v>847.68</v>
      </c>
      <c r="O196">
        <v>0</v>
      </c>
    </row>
    <row r="197" spans="1:15" x14ac:dyDescent="0.3">
      <c r="A197" t="s">
        <v>235</v>
      </c>
      <c r="B197" s="1">
        <v>45959</v>
      </c>
      <c r="C197" t="s">
        <v>38</v>
      </c>
      <c r="D197" t="s">
        <v>42</v>
      </c>
      <c r="E197" t="s">
        <v>24</v>
      </c>
      <c r="F197" t="s">
        <v>19</v>
      </c>
      <c r="G197">
        <v>2481.9</v>
      </c>
      <c r="H197">
        <v>10</v>
      </c>
      <c r="I197" s="1">
        <f t="shared" si="6"/>
        <v>45969</v>
      </c>
      <c r="J197" s="1">
        <f t="shared" si="7"/>
        <v>45969</v>
      </c>
      <c r="K197" t="s">
        <v>20</v>
      </c>
      <c r="L197">
        <v>1311.62</v>
      </c>
      <c r="M197">
        <v>1448.67</v>
      </c>
      <c r="N197">
        <v>1646.42</v>
      </c>
      <c r="O197">
        <v>0</v>
      </c>
    </row>
    <row r="198" spans="1:15" x14ac:dyDescent="0.3">
      <c r="A198" t="s">
        <v>236</v>
      </c>
      <c r="B198" s="1">
        <v>45960</v>
      </c>
      <c r="C198" t="s">
        <v>16</v>
      </c>
      <c r="D198" t="s">
        <v>40</v>
      </c>
      <c r="E198" t="s">
        <v>24</v>
      </c>
      <c r="F198" t="s">
        <v>25</v>
      </c>
      <c r="G198">
        <v>6796.3</v>
      </c>
      <c r="H198">
        <v>12</v>
      </c>
      <c r="I198" s="1">
        <f t="shared" si="6"/>
        <v>45972</v>
      </c>
      <c r="J198" s="1" t="str">
        <f t="shared" si="7"/>
        <v/>
      </c>
      <c r="K198" t="s">
        <v>237</v>
      </c>
      <c r="L198">
        <v>1561.43</v>
      </c>
      <c r="M198">
        <v>1709.17</v>
      </c>
      <c r="N198">
        <v>2357.35</v>
      </c>
    </row>
    <row r="199" spans="1:15" x14ac:dyDescent="0.3">
      <c r="A199" t="s">
        <v>238</v>
      </c>
      <c r="B199" s="1">
        <v>45961</v>
      </c>
      <c r="C199" t="s">
        <v>16</v>
      </c>
      <c r="D199" t="s">
        <v>45</v>
      </c>
      <c r="E199" t="s">
        <v>18</v>
      </c>
      <c r="F199" t="s">
        <v>25</v>
      </c>
      <c r="G199">
        <v>1480.9</v>
      </c>
      <c r="H199">
        <v>2</v>
      </c>
      <c r="I199" s="1">
        <f t="shared" si="6"/>
        <v>45963</v>
      </c>
      <c r="J199" s="1">
        <f t="shared" si="7"/>
        <v>45963</v>
      </c>
      <c r="K199" t="s">
        <v>20</v>
      </c>
      <c r="L199">
        <v>550.29999999999995</v>
      </c>
      <c r="M199">
        <v>633.69000000000005</v>
      </c>
      <c r="N199">
        <v>797.12</v>
      </c>
      <c r="O199">
        <v>0</v>
      </c>
    </row>
    <row r="200" spans="1:15" x14ac:dyDescent="0.3">
      <c r="A200" t="s">
        <v>239</v>
      </c>
      <c r="B200" s="1">
        <v>45962</v>
      </c>
      <c r="C200" t="s">
        <v>22</v>
      </c>
      <c r="D200" t="s">
        <v>45</v>
      </c>
      <c r="E200" t="s">
        <v>18</v>
      </c>
      <c r="F200" t="s">
        <v>25</v>
      </c>
      <c r="G200">
        <v>1165.9000000000001</v>
      </c>
      <c r="H200">
        <v>2</v>
      </c>
      <c r="I200" s="1">
        <f t="shared" si="6"/>
        <v>45964</v>
      </c>
      <c r="J200" s="1">
        <f t="shared" si="7"/>
        <v>45964</v>
      </c>
      <c r="K200" t="s">
        <v>20</v>
      </c>
      <c r="L200">
        <v>630.29999999999995</v>
      </c>
      <c r="M200">
        <v>719.84</v>
      </c>
      <c r="N200">
        <v>937.67</v>
      </c>
      <c r="O200">
        <v>0</v>
      </c>
    </row>
    <row r="201" spans="1:15" x14ac:dyDescent="0.3">
      <c r="A201" t="s">
        <v>240</v>
      </c>
      <c r="B201" s="1">
        <v>45963</v>
      </c>
      <c r="C201" t="s">
        <v>38</v>
      </c>
      <c r="D201" t="s">
        <v>40</v>
      </c>
      <c r="E201" t="s">
        <v>24</v>
      </c>
      <c r="F201" t="s">
        <v>19</v>
      </c>
      <c r="G201">
        <v>3943.8</v>
      </c>
      <c r="H201">
        <v>12</v>
      </c>
      <c r="I201" s="1">
        <f t="shared" si="6"/>
        <v>45975</v>
      </c>
      <c r="J201" s="1">
        <f t="shared" si="7"/>
        <v>45978</v>
      </c>
      <c r="K201" t="s">
        <v>20</v>
      </c>
      <c r="L201">
        <v>1570.62</v>
      </c>
      <c r="M201">
        <v>1727</v>
      </c>
      <c r="N201">
        <v>2533.89</v>
      </c>
      <c r="O201">
        <v>3</v>
      </c>
    </row>
    <row r="202" spans="1:15" x14ac:dyDescent="0.3">
      <c r="A202" t="s">
        <v>241</v>
      </c>
      <c r="B202" s="1">
        <v>45964</v>
      </c>
      <c r="C202" t="s">
        <v>16</v>
      </c>
      <c r="D202" t="s">
        <v>45</v>
      </c>
      <c r="E202" t="s">
        <v>18</v>
      </c>
      <c r="F202" t="s">
        <v>25</v>
      </c>
      <c r="G202">
        <v>5241.5</v>
      </c>
      <c r="H202">
        <v>2</v>
      </c>
      <c r="I202" s="1">
        <f t="shared" si="6"/>
        <v>45966</v>
      </c>
      <c r="J202" s="1">
        <f t="shared" si="7"/>
        <v>45966</v>
      </c>
      <c r="K202" t="s">
        <v>20</v>
      </c>
      <c r="L202">
        <v>632.22</v>
      </c>
      <c r="M202">
        <v>700.04</v>
      </c>
      <c r="N202">
        <v>823.33</v>
      </c>
      <c r="O202">
        <v>0</v>
      </c>
    </row>
    <row r="203" spans="1:15" x14ac:dyDescent="0.3">
      <c r="A203" t="s">
        <v>242</v>
      </c>
      <c r="B203" s="1">
        <v>45965</v>
      </c>
      <c r="C203" t="s">
        <v>38</v>
      </c>
      <c r="D203" t="s">
        <v>32</v>
      </c>
      <c r="E203" t="s">
        <v>24</v>
      </c>
      <c r="F203" t="s">
        <v>25</v>
      </c>
      <c r="G203">
        <v>7547.2</v>
      </c>
      <c r="H203">
        <v>14</v>
      </c>
      <c r="I203" s="1">
        <f t="shared" si="6"/>
        <v>45979</v>
      </c>
      <c r="J203" s="1">
        <f t="shared" si="7"/>
        <v>45981</v>
      </c>
      <c r="K203" t="s">
        <v>20</v>
      </c>
      <c r="L203">
        <v>2222.66</v>
      </c>
      <c r="M203">
        <v>2606.86</v>
      </c>
      <c r="N203">
        <v>3684.73</v>
      </c>
      <c r="O203">
        <v>2</v>
      </c>
    </row>
    <row r="204" spans="1:15" x14ac:dyDescent="0.3">
      <c r="A204" t="s">
        <v>243</v>
      </c>
      <c r="B204" s="1">
        <v>45966</v>
      </c>
      <c r="C204" t="s">
        <v>34</v>
      </c>
      <c r="D204" t="s">
        <v>40</v>
      </c>
      <c r="E204" t="s">
        <v>24</v>
      </c>
      <c r="F204" t="s">
        <v>25</v>
      </c>
      <c r="G204">
        <v>3139.9</v>
      </c>
      <c r="H204">
        <v>12</v>
      </c>
      <c r="I204" s="1">
        <f t="shared" si="6"/>
        <v>45978</v>
      </c>
      <c r="J204" s="1">
        <f t="shared" si="7"/>
        <v>45978</v>
      </c>
      <c r="K204" t="s">
        <v>20</v>
      </c>
      <c r="L204">
        <v>1748.4</v>
      </c>
      <c r="M204">
        <v>1912.46</v>
      </c>
      <c r="N204">
        <v>2578.35</v>
      </c>
      <c r="O204">
        <v>0</v>
      </c>
    </row>
    <row r="205" spans="1:15" x14ac:dyDescent="0.3">
      <c r="A205" t="s">
        <v>244</v>
      </c>
      <c r="B205" s="1">
        <v>45967</v>
      </c>
      <c r="C205" t="s">
        <v>44</v>
      </c>
      <c r="D205" t="s">
        <v>40</v>
      </c>
      <c r="E205" t="s">
        <v>24</v>
      </c>
      <c r="F205" t="s">
        <v>25</v>
      </c>
      <c r="G205">
        <v>381.1</v>
      </c>
      <c r="H205">
        <v>12</v>
      </c>
      <c r="I205" s="1">
        <f t="shared" si="6"/>
        <v>45979</v>
      </c>
      <c r="J205" s="1">
        <f t="shared" si="7"/>
        <v>45979</v>
      </c>
      <c r="K205" t="s">
        <v>20</v>
      </c>
      <c r="L205">
        <v>1641.18</v>
      </c>
      <c r="M205">
        <v>1883.5</v>
      </c>
      <c r="N205">
        <v>2114.38</v>
      </c>
      <c r="O205">
        <v>0</v>
      </c>
    </row>
    <row r="206" spans="1:15" x14ac:dyDescent="0.3">
      <c r="A206" t="s">
        <v>245</v>
      </c>
      <c r="B206" s="1">
        <v>45968</v>
      </c>
      <c r="C206" t="s">
        <v>38</v>
      </c>
      <c r="D206" t="s">
        <v>40</v>
      </c>
      <c r="E206" t="s">
        <v>24</v>
      </c>
      <c r="F206" t="s">
        <v>25</v>
      </c>
      <c r="G206">
        <v>7768.3</v>
      </c>
      <c r="H206">
        <v>12</v>
      </c>
      <c r="I206" s="1">
        <f t="shared" si="6"/>
        <v>45980</v>
      </c>
      <c r="J206" s="1">
        <f t="shared" si="7"/>
        <v>45980</v>
      </c>
      <c r="K206" t="s">
        <v>20</v>
      </c>
      <c r="L206">
        <v>1491.85</v>
      </c>
      <c r="M206">
        <v>1734.2</v>
      </c>
      <c r="N206">
        <v>2496.58</v>
      </c>
      <c r="O206">
        <v>0</v>
      </c>
    </row>
    <row r="207" spans="1:15" x14ac:dyDescent="0.3">
      <c r="A207" t="s">
        <v>246</v>
      </c>
      <c r="B207" s="1">
        <v>45969</v>
      </c>
      <c r="C207" t="s">
        <v>16</v>
      </c>
      <c r="D207" t="s">
        <v>23</v>
      </c>
      <c r="E207" t="s">
        <v>24</v>
      </c>
      <c r="F207" t="s">
        <v>25</v>
      </c>
      <c r="G207">
        <v>730.8</v>
      </c>
      <c r="H207">
        <v>6</v>
      </c>
      <c r="I207" s="1">
        <f t="shared" si="6"/>
        <v>45975</v>
      </c>
      <c r="J207" s="1">
        <f t="shared" si="7"/>
        <v>45975</v>
      </c>
      <c r="K207" t="s">
        <v>20</v>
      </c>
      <c r="L207">
        <v>658.54</v>
      </c>
      <c r="M207">
        <v>741.28</v>
      </c>
      <c r="N207">
        <v>858.68</v>
      </c>
      <c r="O207">
        <v>0</v>
      </c>
    </row>
    <row r="208" spans="1:15" x14ac:dyDescent="0.3">
      <c r="A208" t="s">
        <v>247</v>
      </c>
      <c r="B208" s="1">
        <v>45970</v>
      </c>
      <c r="C208" t="s">
        <v>31</v>
      </c>
      <c r="D208" t="s">
        <v>52</v>
      </c>
      <c r="E208" t="s">
        <v>18</v>
      </c>
      <c r="F208" t="s">
        <v>25</v>
      </c>
      <c r="G208">
        <v>412.3</v>
      </c>
      <c r="H208">
        <v>4</v>
      </c>
      <c r="I208" s="1">
        <f t="shared" si="6"/>
        <v>45974</v>
      </c>
      <c r="J208" s="1">
        <f t="shared" si="7"/>
        <v>45974</v>
      </c>
      <c r="K208" t="s">
        <v>20</v>
      </c>
      <c r="L208">
        <v>898.97</v>
      </c>
      <c r="M208">
        <v>926.92</v>
      </c>
      <c r="N208">
        <v>1262.57</v>
      </c>
      <c r="O208">
        <v>0</v>
      </c>
    </row>
    <row r="209" spans="1:15" x14ac:dyDescent="0.3">
      <c r="A209" t="s">
        <v>248</v>
      </c>
      <c r="B209" s="1">
        <v>45971</v>
      </c>
      <c r="C209" t="s">
        <v>16</v>
      </c>
      <c r="D209" t="s">
        <v>45</v>
      </c>
      <c r="E209" t="s">
        <v>18</v>
      </c>
      <c r="F209" t="s">
        <v>19</v>
      </c>
      <c r="G209">
        <v>426.4</v>
      </c>
      <c r="H209">
        <v>2</v>
      </c>
      <c r="I209" s="1">
        <f t="shared" si="6"/>
        <v>45973</v>
      </c>
      <c r="J209" s="1">
        <f t="shared" si="7"/>
        <v>45973</v>
      </c>
      <c r="K209" t="s">
        <v>20</v>
      </c>
      <c r="L209">
        <v>527.79</v>
      </c>
      <c r="M209">
        <v>619.39</v>
      </c>
      <c r="N209">
        <v>702.6</v>
      </c>
      <c r="O209">
        <v>0</v>
      </c>
    </row>
    <row r="210" spans="1:15" x14ac:dyDescent="0.3">
      <c r="A210" t="s">
        <v>249</v>
      </c>
      <c r="B210" s="1">
        <v>45972</v>
      </c>
      <c r="C210" t="s">
        <v>44</v>
      </c>
      <c r="D210" t="s">
        <v>42</v>
      </c>
      <c r="E210" t="s">
        <v>24</v>
      </c>
      <c r="F210" t="s">
        <v>19</v>
      </c>
      <c r="G210">
        <v>1986.3</v>
      </c>
      <c r="H210">
        <v>10</v>
      </c>
      <c r="I210" s="1">
        <f t="shared" si="6"/>
        <v>45982</v>
      </c>
      <c r="J210" s="1">
        <f t="shared" si="7"/>
        <v>45982</v>
      </c>
      <c r="K210" t="s">
        <v>20</v>
      </c>
      <c r="L210">
        <v>1382.75</v>
      </c>
      <c r="M210">
        <v>1496.4</v>
      </c>
      <c r="N210">
        <v>2285.34</v>
      </c>
      <c r="O210">
        <v>0</v>
      </c>
    </row>
    <row r="211" spans="1:15" x14ac:dyDescent="0.3">
      <c r="A211" t="s">
        <v>250</v>
      </c>
      <c r="B211" s="1">
        <v>45973</v>
      </c>
      <c r="C211" t="s">
        <v>22</v>
      </c>
      <c r="D211" t="s">
        <v>23</v>
      </c>
      <c r="E211" t="s">
        <v>24</v>
      </c>
      <c r="F211" t="s">
        <v>25</v>
      </c>
      <c r="G211">
        <v>4388.6000000000004</v>
      </c>
      <c r="H211">
        <v>6</v>
      </c>
      <c r="I211" s="1">
        <f t="shared" si="6"/>
        <v>45979</v>
      </c>
      <c r="J211" s="1">
        <f t="shared" si="7"/>
        <v>45980</v>
      </c>
      <c r="K211" t="s">
        <v>20</v>
      </c>
      <c r="L211">
        <v>724.35</v>
      </c>
      <c r="M211">
        <v>833.41</v>
      </c>
      <c r="N211">
        <v>1044.57</v>
      </c>
      <c r="O211">
        <v>1</v>
      </c>
    </row>
    <row r="212" spans="1:15" x14ac:dyDescent="0.3">
      <c r="A212" t="s">
        <v>251</v>
      </c>
      <c r="B212" s="1">
        <v>45974</v>
      </c>
      <c r="C212" t="s">
        <v>22</v>
      </c>
      <c r="D212" t="s">
        <v>45</v>
      </c>
      <c r="E212" t="s">
        <v>18</v>
      </c>
      <c r="F212" t="s">
        <v>25</v>
      </c>
      <c r="G212">
        <v>2213.1</v>
      </c>
      <c r="H212">
        <v>2</v>
      </c>
      <c r="I212" s="1">
        <f t="shared" si="6"/>
        <v>45976</v>
      </c>
      <c r="J212" s="1">
        <f t="shared" si="7"/>
        <v>45978</v>
      </c>
      <c r="K212" t="s">
        <v>20</v>
      </c>
      <c r="L212">
        <v>679.07</v>
      </c>
      <c r="M212">
        <v>831.93</v>
      </c>
      <c r="N212">
        <v>1033.2</v>
      </c>
      <c r="O212">
        <v>2</v>
      </c>
    </row>
    <row r="213" spans="1:15" x14ac:dyDescent="0.3">
      <c r="A213" t="s">
        <v>252</v>
      </c>
      <c r="B213" s="1">
        <v>45975</v>
      </c>
      <c r="C213" t="s">
        <v>34</v>
      </c>
      <c r="D213" t="s">
        <v>42</v>
      </c>
      <c r="E213" t="s">
        <v>24</v>
      </c>
      <c r="F213" t="s">
        <v>25</v>
      </c>
      <c r="G213">
        <v>2791.7</v>
      </c>
      <c r="H213">
        <v>10</v>
      </c>
      <c r="I213" s="1">
        <f t="shared" si="6"/>
        <v>45985</v>
      </c>
      <c r="J213" s="1">
        <f t="shared" si="7"/>
        <v>45986</v>
      </c>
      <c r="K213" t="s">
        <v>20</v>
      </c>
      <c r="L213">
        <v>1110.57</v>
      </c>
      <c r="M213">
        <v>1304.28</v>
      </c>
      <c r="N213">
        <v>1578.53</v>
      </c>
      <c r="O213">
        <v>1</v>
      </c>
    </row>
    <row r="214" spans="1:15" x14ac:dyDescent="0.3">
      <c r="A214" t="s">
        <v>253</v>
      </c>
      <c r="B214" s="1">
        <v>45976</v>
      </c>
      <c r="C214" t="s">
        <v>38</v>
      </c>
      <c r="D214" t="s">
        <v>45</v>
      </c>
      <c r="E214" t="s">
        <v>18</v>
      </c>
      <c r="F214" t="s">
        <v>25</v>
      </c>
      <c r="G214">
        <v>5119.3999999999996</v>
      </c>
      <c r="H214">
        <v>2</v>
      </c>
      <c r="I214" s="1">
        <f t="shared" si="6"/>
        <v>45978</v>
      </c>
      <c r="J214" s="1">
        <f t="shared" si="7"/>
        <v>45978</v>
      </c>
      <c r="K214" t="s">
        <v>20</v>
      </c>
      <c r="L214">
        <v>525.54999999999995</v>
      </c>
      <c r="M214">
        <v>668.81</v>
      </c>
      <c r="N214">
        <v>822.85</v>
      </c>
      <c r="O214">
        <v>0</v>
      </c>
    </row>
    <row r="215" spans="1:15" x14ac:dyDescent="0.3">
      <c r="A215" t="s">
        <v>254</v>
      </c>
      <c r="B215" s="1">
        <v>45977</v>
      </c>
      <c r="C215" t="s">
        <v>34</v>
      </c>
      <c r="D215" t="s">
        <v>52</v>
      </c>
      <c r="E215" t="s">
        <v>18</v>
      </c>
      <c r="F215" t="s">
        <v>25</v>
      </c>
      <c r="G215">
        <v>1616.1</v>
      </c>
      <c r="H215">
        <v>4</v>
      </c>
      <c r="I215" s="1">
        <f t="shared" si="6"/>
        <v>45981</v>
      </c>
      <c r="J215" s="1">
        <f t="shared" si="7"/>
        <v>45981</v>
      </c>
      <c r="K215" t="s">
        <v>20</v>
      </c>
      <c r="L215">
        <v>892.79</v>
      </c>
      <c r="M215">
        <v>1014.41</v>
      </c>
      <c r="N215">
        <v>1279.3399999999999</v>
      </c>
      <c r="O215">
        <v>0</v>
      </c>
    </row>
    <row r="216" spans="1:15" x14ac:dyDescent="0.3">
      <c r="A216" t="s">
        <v>255</v>
      </c>
      <c r="B216" s="1">
        <v>45978</v>
      </c>
      <c r="C216" t="s">
        <v>50</v>
      </c>
      <c r="D216" t="s">
        <v>42</v>
      </c>
      <c r="E216" t="s">
        <v>24</v>
      </c>
      <c r="F216" t="s">
        <v>25</v>
      </c>
      <c r="G216">
        <v>6287.6</v>
      </c>
      <c r="H216">
        <v>10</v>
      </c>
      <c r="I216" s="1">
        <f t="shared" si="6"/>
        <v>45988</v>
      </c>
      <c r="J216" s="1">
        <f t="shared" si="7"/>
        <v>45990</v>
      </c>
      <c r="K216" t="s">
        <v>20</v>
      </c>
      <c r="L216">
        <v>1540.18</v>
      </c>
      <c r="M216">
        <v>1722.53</v>
      </c>
      <c r="N216">
        <v>2225.7800000000002</v>
      </c>
      <c r="O216">
        <v>2</v>
      </c>
    </row>
    <row r="217" spans="1:15" x14ac:dyDescent="0.3">
      <c r="A217" t="s">
        <v>256</v>
      </c>
      <c r="B217" s="1">
        <v>45979</v>
      </c>
      <c r="C217" t="s">
        <v>34</v>
      </c>
      <c r="D217" t="s">
        <v>64</v>
      </c>
      <c r="E217" t="s">
        <v>18</v>
      </c>
      <c r="F217" t="s">
        <v>19</v>
      </c>
      <c r="G217">
        <v>2994.1</v>
      </c>
      <c r="H217">
        <v>2</v>
      </c>
      <c r="I217" s="1">
        <f t="shared" si="6"/>
        <v>45981</v>
      </c>
      <c r="J217" s="1">
        <f t="shared" si="7"/>
        <v>45984</v>
      </c>
      <c r="K217" t="s">
        <v>20</v>
      </c>
      <c r="L217">
        <v>634.34</v>
      </c>
      <c r="M217">
        <v>648.15</v>
      </c>
      <c r="N217">
        <v>993.76</v>
      </c>
      <c r="O217">
        <v>3</v>
      </c>
    </row>
    <row r="218" spans="1:15" x14ac:dyDescent="0.3">
      <c r="A218" t="s">
        <v>257</v>
      </c>
      <c r="B218" s="1">
        <v>45980</v>
      </c>
      <c r="C218" t="s">
        <v>44</v>
      </c>
      <c r="D218" t="s">
        <v>23</v>
      </c>
      <c r="E218" t="s">
        <v>24</v>
      </c>
      <c r="F218" t="s">
        <v>19</v>
      </c>
      <c r="G218">
        <v>6260.8</v>
      </c>
      <c r="H218">
        <v>6</v>
      </c>
      <c r="I218" s="1">
        <f t="shared" si="6"/>
        <v>45986</v>
      </c>
      <c r="J218" s="1">
        <f t="shared" si="7"/>
        <v>45990</v>
      </c>
      <c r="K218" t="s">
        <v>20</v>
      </c>
      <c r="L218">
        <v>973.71</v>
      </c>
      <c r="M218">
        <v>1125.57</v>
      </c>
      <c r="N218">
        <v>1478.51</v>
      </c>
      <c r="O218">
        <v>4</v>
      </c>
    </row>
    <row r="219" spans="1:15" x14ac:dyDescent="0.3">
      <c r="A219" t="s">
        <v>258</v>
      </c>
      <c r="B219" s="1">
        <v>45981</v>
      </c>
      <c r="C219" t="s">
        <v>38</v>
      </c>
      <c r="D219" t="s">
        <v>69</v>
      </c>
      <c r="E219" t="s">
        <v>29</v>
      </c>
      <c r="F219" t="s">
        <v>25</v>
      </c>
      <c r="G219">
        <v>1516</v>
      </c>
      <c r="H219">
        <v>2</v>
      </c>
      <c r="I219" s="1">
        <f t="shared" si="6"/>
        <v>45983</v>
      </c>
      <c r="J219" s="1">
        <f t="shared" si="7"/>
        <v>45983</v>
      </c>
      <c r="K219" t="s">
        <v>20</v>
      </c>
      <c r="L219">
        <v>256</v>
      </c>
      <c r="M219">
        <v>381.25</v>
      </c>
      <c r="N219">
        <v>317.87</v>
      </c>
      <c r="O219">
        <v>0</v>
      </c>
    </row>
    <row r="220" spans="1:15" x14ac:dyDescent="0.3">
      <c r="A220" t="s">
        <v>259</v>
      </c>
      <c r="B220" s="1">
        <v>45982</v>
      </c>
      <c r="C220" t="s">
        <v>44</v>
      </c>
      <c r="D220" t="s">
        <v>40</v>
      </c>
      <c r="E220" t="s">
        <v>24</v>
      </c>
      <c r="F220" t="s">
        <v>25</v>
      </c>
      <c r="G220">
        <v>4520.3999999999996</v>
      </c>
      <c r="H220">
        <v>12</v>
      </c>
      <c r="I220" s="1">
        <f t="shared" si="6"/>
        <v>45994</v>
      </c>
      <c r="J220" s="1">
        <f t="shared" si="7"/>
        <v>45994</v>
      </c>
      <c r="K220" t="s">
        <v>20</v>
      </c>
      <c r="L220">
        <v>1579.12</v>
      </c>
      <c r="M220">
        <v>1627.09</v>
      </c>
      <c r="N220">
        <v>2236.58</v>
      </c>
      <c r="O220">
        <v>0</v>
      </c>
    </row>
    <row r="221" spans="1:15" x14ac:dyDescent="0.3">
      <c r="A221" t="s">
        <v>260</v>
      </c>
      <c r="B221" s="1">
        <v>45983</v>
      </c>
      <c r="C221" t="s">
        <v>22</v>
      </c>
      <c r="D221" t="s">
        <v>42</v>
      </c>
      <c r="E221" t="s">
        <v>24</v>
      </c>
      <c r="F221" t="s">
        <v>25</v>
      </c>
      <c r="G221">
        <v>5587.7</v>
      </c>
      <c r="H221">
        <v>10</v>
      </c>
      <c r="I221" s="1">
        <f t="shared" si="6"/>
        <v>45993</v>
      </c>
      <c r="J221" s="1">
        <f t="shared" si="7"/>
        <v>45993</v>
      </c>
      <c r="K221" t="s">
        <v>20</v>
      </c>
      <c r="L221">
        <v>1069.6199999999999</v>
      </c>
      <c r="M221">
        <v>1266.1400000000001</v>
      </c>
      <c r="N221">
        <v>1386.37</v>
      </c>
      <c r="O221">
        <v>0</v>
      </c>
    </row>
    <row r="222" spans="1:15" x14ac:dyDescent="0.3">
      <c r="A222" t="s">
        <v>261</v>
      </c>
      <c r="B222" s="1">
        <v>45984</v>
      </c>
      <c r="C222" t="s">
        <v>22</v>
      </c>
      <c r="D222" t="s">
        <v>69</v>
      </c>
      <c r="E222" t="s">
        <v>29</v>
      </c>
      <c r="F222" t="s">
        <v>19</v>
      </c>
      <c r="G222">
        <v>5905.2</v>
      </c>
      <c r="H222">
        <v>2</v>
      </c>
      <c r="I222" s="1">
        <f t="shared" si="6"/>
        <v>45986</v>
      </c>
      <c r="J222" s="1">
        <f t="shared" si="7"/>
        <v>45988</v>
      </c>
      <c r="K222" t="s">
        <v>20</v>
      </c>
      <c r="L222">
        <v>237.54</v>
      </c>
      <c r="M222">
        <v>299.02</v>
      </c>
      <c r="N222">
        <v>310.55</v>
      </c>
      <c r="O222">
        <v>2</v>
      </c>
    </row>
    <row r="223" spans="1:15" x14ac:dyDescent="0.3">
      <c r="A223" t="s">
        <v>262</v>
      </c>
      <c r="B223" s="1">
        <v>45985</v>
      </c>
      <c r="C223" t="s">
        <v>27</v>
      </c>
      <c r="D223" t="s">
        <v>32</v>
      </c>
      <c r="E223" t="s">
        <v>24</v>
      </c>
      <c r="F223" t="s">
        <v>25</v>
      </c>
      <c r="G223">
        <v>3416.3</v>
      </c>
      <c r="H223">
        <v>14</v>
      </c>
      <c r="I223" s="1">
        <f t="shared" si="6"/>
        <v>45999</v>
      </c>
      <c r="J223" s="1">
        <f t="shared" si="7"/>
        <v>46002</v>
      </c>
      <c r="K223" t="s">
        <v>20</v>
      </c>
      <c r="L223">
        <v>2118.1799999999998</v>
      </c>
      <c r="M223">
        <v>2529.1799999999998</v>
      </c>
      <c r="N223">
        <v>3389.78</v>
      </c>
      <c r="O223">
        <v>3</v>
      </c>
    </row>
    <row r="224" spans="1:15" x14ac:dyDescent="0.3">
      <c r="A224" t="s">
        <v>263</v>
      </c>
      <c r="B224" s="1">
        <v>45986</v>
      </c>
      <c r="C224" t="s">
        <v>44</v>
      </c>
      <c r="D224" t="s">
        <v>64</v>
      </c>
      <c r="E224" t="s">
        <v>18</v>
      </c>
      <c r="F224" t="s">
        <v>19</v>
      </c>
      <c r="G224">
        <v>2948.9</v>
      </c>
      <c r="H224">
        <v>2</v>
      </c>
      <c r="I224" s="1">
        <f t="shared" si="6"/>
        <v>45988</v>
      </c>
      <c r="J224" s="1">
        <f t="shared" si="7"/>
        <v>45990</v>
      </c>
      <c r="K224" t="s">
        <v>20</v>
      </c>
      <c r="L224">
        <v>611.82000000000005</v>
      </c>
      <c r="M224">
        <v>792.08</v>
      </c>
      <c r="N224">
        <v>877.56</v>
      </c>
      <c r="O224">
        <v>2</v>
      </c>
    </row>
    <row r="225" spans="1:15" x14ac:dyDescent="0.3">
      <c r="A225" t="s">
        <v>264</v>
      </c>
      <c r="B225" s="1">
        <v>45987</v>
      </c>
      <c r="C225" t="s">
        <v>22</v>
      </c>
      <c r="D225" t="s">
        <v>40</v>
      </c>
      <c r="E225" t="s">
        <v>24</v>
      </c>
      <c r="F225" t="s">
        <v>25</v>
      </c>
      <c r="G225">
        <v>2133.6</v>
      </c>
      <c r="H225">
        <v>12</v>
      </c>
      <c r="I225" s="1">
        <f t="shared" si="6"/>
        <v>45999</v>
      </c>
      <c r="J225" s="1">
        <f t="shared" si="7"/>
        <v>45999</v>
      </c>
      <c r="K225" t="s">
        <v>20</v>
      </c>
      <c r="L225">
        <v>1615.23</v>
      </c>
      <c r="M225">
        <v>1887.78</v>
      </c>
      <c r="N225">
        <v>2881.27</v>
      </c>
      <c r="O225">
        <v>0</v>
      </c>
    </row>
    <row r="226" spans="1:15" x14ac:dyDescent="0.3">
      <c r="A226" t="s">
        <v>265</v>
      </c>
      <c r="B226" s="1">
        <v>45988</v>
      </c>
      <c r="C226" t="s">
        <v>38</v>
      </c>
      <c r="D226" t="s">
        <v>23</v>
      </c>
      <c r="E226" t="s">
        <v>24</v>
      </c>
      <c r="F226" t="s">
        <v>25</v>
      </c>
      <c r="G226">
        <v>5845.3</v>
      </c>
      <c r="H226">
        <v>6</v>
      </c>
      <c r="I226" s="1">
        <f t="shared" si="6"/>
        <v>45994</v>
      </c>
      <c r="J226" s="1">
        <f t="shared" si="7"/>
        <v>45994</v>
      </c>
      <c r="K226" t="s">
        <v>20</v>
      </c>
      <c r="L226">
        <v>953.01</v>
      </c>
      <c r="M226">
        <v>1079.73</v>
      </c>
      <c r="N226">
        <v>1276.5</v>
      </c>
      <c r="O226">
        <v>0</v>
      </c>
    </row>
    <row r="227" spans="1:15" x14ac:dyDescent="0.3">
      <c r="A227" t="s">
        <v>266</v>
      </c>
      <c r="B227" s="1">
        <v>45989</v>
      </c>
      <c r="C227" t="s">
        <v>31</v>
      </c>
      <c r="D227" t="s">
        <v>40</v>
      </c>
      <c r="E227" t="s">
        <v>24</v>
      </c>
      <c r="F227" t="s">
        <v>25</v>
      </c>
      <c r="G227">
        <v>7387.2</v>
      </c>
      <c r="H227">
        <v>12</v>
      </c>
      <c r="I227" s="1">
        <f t="shared" si="6"/>
        <v>46001</v>
      </c>
      <c r="J227" s="1">
        <f t="shared" si="7"/>
        <v>46003</v>
      </c>
      <c r="K227" t="s">
        <v>20</v>
      </c>
      <c r="L227">
        <v>1263.69</v>
      </c>
      <c r="M227">
        <v>1452.34</v>
      </c>
      <c r="N227">
        <v>1849.51</v>
      </c>
      <c r="O227">
        <v>2</v>
      </c>
    </row>
    <row r="228" spans="1:15" x14ac:dyDescent="0.3">
      <c r="A228" t="s">
        <v>267</v>
      </c>
      <c r="B228" s="1">
        <v>45990</v>
      </c>
      <c r="C228" t="s">
        <v>22</v>
      </c>
      <c r="D228" t="s">
        <v>45</v>
      </c>
      <c r="E228" t="s">
        <v>18</v>
      </c>
      <c r="F228" t="s">
        <v>19</v>
      </c>
      <c r="G228">
        <v>7800.7</v>
      </c>
      <c r="H228">
        <v>2</v>
      </c>
      <c r="I228" s="1">
        <f t="shared" si="6"/>
        <v>45992</v>
      </c>
      <c r="J228" s="1">
        <f t="shared" si="7"/>
        <v>45992</v>
      </c>
      <c r="K228" t="s">
        <v>20</v>
      </c>
      <c r="L228">
        <v>569.02</v>
      </c>
      <c r="M228">
        <v>642.88</v>
      </c>
      <c r="N228">
        <v>883.13</v>
      </c>
      <c r="O228">
        <v>0</v>
      </c>
    </row>
    <row r="229" spans="1:15" x14ac:dyDescent="0.3">
      <c r="A229" t="s">
        <v>268</v>
      </c>
      <c r="B229" s="1">
        <v>45991</v>
      </c>
      <c r="C229" t="s">
        <v>27</v>
      </c>
      <c r="D229" t="s">
        <v>69</v>
      </c>
      <c r="E229" t="s">
        <v>29</v>
      </c>
      <c r="F229" t="s">
        <v>19</v>
      </c>
      <c r="G229">
        <v>7259</v>
      </c>
      <c r="H229">
        <v>2</v>
      </c>
      <c r="I229" s="1">
        <f t="shared" si="6"/>
        <v>45993</v>
      </c>
      <c r="J229" s="1">
        <f t="shared" si="7"/>
        <v>45993</v>
      </c>
      <c r="K229" t="s">
        <v>20</v>
      </c>
      <c r="L229">
        <v>200.19</v>
      </c>
      <c r="M229">
        <v>231.51</v>
      </c>
      <c r="N229">
        <v>272.04000000000002</v>
      </c>
      <c r="O229">
        <v>0</v>
      </c>
    </row>
    <row r="230" spans="1:15" x14ac:dyDescent="0.3">
      <c r="A230" t="s">
        <v>269</v>
      </c>
      <c r="B230" s="1">
        <v>45992</v>
      </c>
      <c r="C230" t="s">
        <v>34</v>
      </c>
      <c r="D230" t="s">
        <v>32</v>
      </c>
      <c r="E230" t="s">
        <v>24</v>
      </c>
      <c r="F230" t="s">
        <v>25</v>
      </c>
      <c r="G230">
        <v>4516.5</v>
      </c>
      <c r="H230">
        <v>14</v>
      </c>
      <c r="I230" s="1">
        <f t="shared" si="6"/>
        <v>46006</v>
      </c>
      <c r="J230" s="1">
        <f t="shared" si="7"/>
        <v>46006</v>
      </c>
      <c r="K230" t="s">
        <v>20</v>
      </c>
      <c r="L230">
        <v>1677.12</v>
      </c>
      <c r="M230">
        <v>1907.21</v>
      </c>
      <c r="N230">
        <v>2928.25</v>
      </c>
      <c r="O230">
        <v>0</v>
      </c>
    </row>
    <row r="231" spans="1:15" x14ac:dyDescent="0.3">
      <c r="A231" t="s">
        <v>270</v>
      </c>
      <c r="B231" s="1">
        <v>45993</v>
      </c>
      <c r="C231" t="s">
        <v>34</v>
      </c>
      <c r="D231" t="s">
        <v>69</v>
      </c>
      <c r="E231" t="s">
        <v>29</v>
      </c>
      <c r="F231" t="s">
        <v>19</v>
      </c>
      <c r="G231">
        <v>1594.2</v>
      </c>
      <c r="H231">
        <v>2</v>
      </c>
      <c r="I231" s="1">
        <f t="shared" si="6"/>
        <v>45995</v>
      </c>
      <c r="J231" s="1">
        <f t="shared" si="7"/>
        <v>45997</v>
      </c>
      <c r="K231" t="s">
        <v>20</v>
      </c>
      <c r="L231">
        <v>285.56</v>
      </c>
      <c r="M231">
        <v>303</v>
      </c>
      <c r="N231">
        <v>436.33</v>
      </c>
      <c r="O231">
        <v>2</v>
      </c>
    </row>
    <row r="232" spans="1:15" x14ac:dyDescent="0.3">
      <c r="A232" t="s">
        <v>271</v>
      </c>
      <c r="B232" s="1">
        <v>45994</v>
      </c>
      <c r="C232" t="s">
        <v>27</v>
      </c>
      <c r="D232" t="s">
        <v>23</v>
      </c>
      <c r="E232" t="s">
        <v>24</v>
      </c>
      <c r="F232" t="s">
        <v>19</v>
      </c>
      <c r="G232">
        <v>4225.3</v>
      </c>
      <c r="H232">
        <v>6</v>
      </c>
      <c r="I232" s="1">
        <f t="shared" si="6"/>
        <v>46000</v>
      </c>
      <c r="J232" s="1">
        <f t="shared" si="7"/>
        <v>46000</v>
      </c>
      <c r="K232" t="s">
        <v>20</v>
      </c>
      <c r="L232">
        <v>703.09</v>
      </c>
      <c r="M232">
        <v>865.38</v>
      </c>
      <c r="N232">
        <v>1024.52</v>
      </c>
      <c r="O232">
        <v>0</v>
      </c>
    </row>
    <row r="233" spans="1:15" x14ac:dyDescent="0.3">
      <c r="A233" t="s">
        <v>272</v>
      </c>
      <c r="B233" s="1">
        <v>45995</v>
      </c>
      <c r="C233" t="s">
        <v>16</v>
      </c>
      <c r="D233" t="s">
        <v>42</v>
      </c>
      <c r="E233" t="s">
        <v>24</v>
      </c>
      <c r="F233" t="s">
        <v>25</v>
      </c>
      <c r="G233">
        <v>6787.6</v>
      </c>
      <c r="H233">
        <v>10</v>
      </c>
      <c r="I233" s="1">
        <f t="shared" si="6"/>
        <v>46005</v>
      </c>
      <c r="J233" s="1">
        <f t="shared" si="7"/>
        <v>46005</v>
      </c>
      <c r="K233" t="s">
        <v>20</v>
      </c>
      <c r="L233">
        <v>1476.45</v>
      </c>
      <c r="M233">
        <v>1754.38</v>
      </c>
      <c r="N233">
        <v>2027.39</v>
      </c>
      <c r="O233">
        <v>0</v>
      </c>
    </row>
    <row r="234" spans="1:15" x14ac:dyDescent="0.3">
      <c r="A234" t="s">
        <v>273</v>
      </c>
      <c r="B234" s="1">
        <v>45996</v>
      </c>
      <c r="C234" t="s">
        <v>34</v>
      </c>
      <c r="D234" t="s">
        <v>45</v>
      </c>
      <c r="E234" t="s">
        <v>18</v>
      </c>
      <c r="F234" t="s">
        <v>19</v>
      </c>
      <c r="G234">
        <v>4399.8</v>
      </c>
      <c r="H234">
        <v>2</v>
      </c>
      <c r="I234" s="1">
        <f t="shared" si="6"/>
        <v>45998</v>
      </c>
      <c r="J234" s="1">
        <f t="shared" si="7"/>
        <v>46001</v>
      </c>
      <c r="K234" t="s">
        <v>20</v>
      </c>
      <c r="L234">
        <v>682.66</v>
      </c>
      <c r="M234">
        <v>746.8</v>
      </c>
      <c r="N234">
        <v>1053.29</v>
      </c>
      <c r="O234">
        <v>3</v>
      </c>
    </row>
    <row r="235" spans="1:15" x14ac:dyDescent="0.3">
      <c r="A235" t="s">
        <v>274</v>
      </c>
      <c r="B235" s="1">
        <v>45997</v>
      </c>
      <c r="C235" t="s">
        <v>22</v>
      </c>
      <c r="D235" t="s">
        <v>52</v>
      </c>
      <c r="E235" t="s">
        <v>18</v>
      </c>
      <c r="F235" t="s">
        <v>25</v>
      </c>
      <c r="G235">
        <v>2695.3</v>
      </c>
      <c r="H235">
        <v>4</v>
      </c>
      <c r="I235" s="1">
        <f t="shared" si="6"/>
        <v>46001</v>
      </c>
      <c r="J235" s="1">
        <f t="shared" si="7"/>
        <v>46001</v>
      </c>
      <c r="K235" t="s">
        <v>20</v>
      </c>
      <c r="L235">
        <v>806.91</v>
      </c>
      <c r="M235">
        <v>999.56</v>
      </c>
      <c r="N235">
        <v>1124.1600000000001</v>
      </c>
      <c r="O235">
        <v>0</v>
      </c>
    </row>
    <row r="236" spans="1:15" x14ac:dyDescent="0.3">
      <c r="A236" t="s">
        <v>275</v>
      </c>
      <c r="B236" s="1">
        <v>45998</v>
      </c>
      <c r="C236" t="s">
        <v>44</v>
      </c>
      <c r="D236" t="s">
        <v>64</v>
      </c>
      <c r="E236" t="s">
        <v>18</v>
      </c>
      <c r="F236" t="s">
        <v>25</v>
      </c>
      <c r="G236">
        <v>4516.6000000000004</v>
      </c>
      <c r="H236">
        <v>2</v>
      </c>
      <c r="I236" s="1">
        <f t="shared" si="6"/>
        <v>46000</v>
      </c>
      <c r="J236" s="1">
        <f t="shared" si="7"/>
        <v>46004</v>
      </c>
      <c r="K236" t="s">
        <v>20</v>
      </c>
      <c r="L236">
        <v>645.74</v>
      </c>
      <c r="M236">
        <v>748.6</v>
      </c>
      <c r="N236">
        <v>1144.3499999999999</v>
      </c>
      <c r="O236">
        <v>4</v>
      </c>
    </row>
    <row r="237" spans="1:15" x14ac:dyDescent="0.3">
      <c r="A237" t="s">
        <v>276</v>
      </c>
      <c r="B237" s="1">
        <v>45999</v>
      </c>
      <c r="C237" t="s">
        <v>44</v>
      </c>
      <c r="D237" t="s">
        <v>40</v>
      </c>
      <c r="E237" t="s">
        <v>24</v>
      </c>
      <c r="F237" t="s">
        <v>19</v>
      </c>
      <c r="G237">
        <v>6402.9</v>
      </c>
      <c r="H237">
        <v>12</v>
      </c>
      <c r="I237" s="1">
        <f t="shared" si="6"/>
        <v>46011</v>
      </c>
      <c r="J237" s="1">
        <f t="shared" si="7"/>
        <v>46011</v>
      </c>
      <c r="K237" t="s">
        <v>20</v>
      </c>
      <c r="L237">
        <v>1462.72</v>
      </c>
      <c r="M237">
        <v>1704.76</v>
      </c>
      <c r="N237">
        <v>2226.91</v>
      </c>
      <c r="O237">
        <v>0</v>
      </c>
    </row>
    <row r="238" spans="1:15" x14ac:dyDescent="0.3">
      <c r="A238" t="s">
        <v>277</v>
      </c>
      <c r="B238" s="1">
        <v>46000</v>
      </c>
      <c r="C238" t="s">
        <v>27</v>
      </c>
      <c r="D238" t="s">
        <v>17</v>
      </c>
      <c r="E238" t="s">
        <v>18</v>
      </c>
      <c r="F238" t="s">
        <v>25</v>
      </c>
      <c r="G238">
        <v>2354.1</v>
      </c>
      <c r="H238">
        <v>3</v>
      </c>
      <c r="I238" s="1">
        <f t="shared" si="6"/>
        <v>46003</v>
      </c>
      <c r="J238" s="1">
        <f t="shared" si="7"/>
        <v>46003</v>
      </c>
      <c r="K238" t="s">
        <v>20</v>
      </c>
      <c r="L238">
        <v>708.92</v>
      </c>
      <c r="M238">
        <v>785.29</v>
      </c>
      <c r="N238">
        <v>1013.09</v>
      </c>
      <c r="O238">
        <v>0</v>
      </c>
    </row>
    <row r="239" spans="1:15" x14ac:dyDescent="0.3">
      <c r="A239" t="s">
        <v>278</v>
      </c>
      <c r="B239" s="1">
        <v>46001</v>
      </c>
      <c r="C239" t="s">
        <v>38</v>
      </c>
      <c r="D239" t="s">
        <v>32</v>
      </c>
      <c r="E239" t="s">
        <v>24</v>
      </c>
      <c r="F239" t="s">
        <v>25</v>
      </c>
      <c r="G239">
        <v>1331</v>
      </c>
      <c r="H239">
        <v>14</v>
      </c>
      <c r="I239" s="1">
        <f t="shared" si="6"/>
        <v>46015</v>
      </c>
      <c r="J239" s="1">
        <f t="shared" si="7"/>
        <v>46015</v>
      </c>
      <c r="K239" t="s">
        <v>20</v>
      </c>
      <c r="L239">
        <v>2015.03</v>
      </c>
      <c r="M239">
        <v>2238.4699999999998</v>
      </c>
      <c r="N239">
        <v>2887.92</v>
      </c>
      <c r="O239">
        <v>0</v>
      </c>
    </row>
    <row r="240" spans="1:15" x14ac:dyDescent="0.3">
      <c r="A240" t="s">
        <v>279</v>
      </c>
      <c r="B240" s="1">
        <v>46002</v>
      </c>
      <c r="C240" t="s">
        <v>44</v>
      </c>
      <c r="D240" t="s">
        <v>42</v>
      </c>
      <c r="E240" t="s">
        <v>24</v>
      </c>
      <c r="F240" t="s">
        <v>25</v>
      </c>
      <c r="G240">
        <v>1539.1</v>
      </c>
      <c r="H240">
        <v>10</v>
      </c>
      <c r="I240" s="1">
        <f t="shared" si="6"/>
        <v>46012</v>
      </c>
      <c r="J240" s="1">
        <f t="shared" si="7"/>
        <v>46016</v>
      </c>
      <c r="K240" t="s">
        <v>20</v>
      </c>
      <c r="L240">
        <v>1156.3</v>
      </c>
      <c r="M240">
        <v>1313.23</v>
      </c>
      <c r="N240">
        <v>1567.1</v>
      </c>
      <c r="O240">
        <v>4</v>
      </c>
    </row>
    <row r="241" spans="1:15" x14ac:dyDescent="0.3">
      <c r="A241" t="s">
        <v>280</v>
      </c>
      <c r="B241" s="1">
        <v>46003</v>
      </c>
      <c r="C241" t="s">
        <v>16</v>
      </c>
      <c r="D241" t="s">
        <v>45</v>
      </c>
      <c r="E241" t="s">
        <v>18</v>
      </c>
      <c r="F241" t="s">
        <v>25</v>
      </c>
      <c r="G241">
        <v>7874.2</v>
      </c>
      <c r="H241">
        <v>2</v>
      </c>
      <c r="I241" s="1">
        <f t="shared" si="6"/>
        <v>46005</v>
      </c>
      <c r="J241" s="1">
        <f t="shared" si="7"/>
        <v>46008</v>
      </c>
      <c r="K241" t="s">
        <v>20</v>
      </c>
      <c r="L241">
        <v>528.82000000000005</v>
      </c>
      <c r="M241">
        <v>601.99</v>
      </c>
      <c r="N241">
        <v>792.88</v>
      </c>
      <c r="O241">
        <v>3</v>
      </c>
    </row>
    <row r="242" spans="1:15" x14ac:dyDescent="0.3">
      <c r="A242" t="s">
        <v>281</v>
      </c>
      <c r="B242" s="1">
        <v>46004</v>
      </c>
      <c r="C242" t="s">
        <v>16</v>
      </c>
      <c r="D242" t="s">
        <v>42</v>
      </c>
      <c r="E242" t="s">
        <v>24</v>
      </c>
      <c r="F242" t="s">
        <v>25</v>
      </c>
      <c r="G242">
        <v>4257</v>
      </c>
      <c r="H242">
        <v>10</v>
      </c>
      <c r="I242" s="1">
        <f t="shared" si="6"/>
        <v>46014</v>
      </c>
      <c r="J242" s="1">
        <f t="shared" si="7"/>
        <v>46021</v>
      </c>
      <c r="K242" t="s">
        <v>20</v>
      </c>
      <c r="L242">
        <v>1445.74</v>
      </c>
      <c r="M242">
        <v>1579.69</v>
      </c>
      <c r="N242">
        <v>2067.3000000000002</v>
      </c>
      <c r="O242">
        <v>7</v>
      </c>
    </row>
    <row r="243" spans="1:15" x14ac:dyDescent="0.3">
      <c r="A243" t="s">
        <v>282</v>
      </c>
      <c r="B243" s="1">
        <v>46005</v>
      </c>
      <c r="C243" t="s">
        <v>34</v>
      </c>
      <c r="D243" t="s">
        <v>42</v>
      </c>
      <c r="E243" t="s">
        <v>24</v>
      </c>
      <c r="F243" t="s">
        <v>19</v>
      </c>
      <c r="G243">
        <v>5705.1</v>
      </c>
      <c r="H243">
        <v>10</v>
      </c>
      <c r="I243" s="1">
        <f t="shared" si="6"/>
        <v>46015</v>
      </c>
      <c r="J243" s="1">
        <f t="shared" si="7"/>
        <v>46022</v>
      </c>
      <c r="K243" t="s">
        <v>20</v>
      </c>
      <c r="L243">
        <v>1256.08</v>
      </c>
      <c r="M243">
        <v>1460.79</v>
      </c>
      <c r="N243">
        <v>1831.95</v>
      </c>
      <c r="O243">
        <v>7</v>
      </c>
    </row>
    <row r="244" spans="1:15" x14ac:dyDescent="0.3">
      <c r="A244" t="s">
        <v>283</v>
      </c>
      <c r="B244" s="1">
        <v>46006</v>
      </c>
      <c r="C244" t="s">
        <v>44</v>
      </c>
      <c r="D244" t="s">
        <v>42</v>
      </c>
      <c r="E244" t="s">
        <v>24</v>
      </c>
      <c r="F244" t="s">
        <v>25</v>
      </c>
      <c r="G244">
        <v>5719.2</v>
      </c>
      <c r="H244">
        <v>10</v>
      </c>
      <c r="I244" s="1">
        <f t="shared" si="6"/>
        <v>46016</v>
      </c>
      <c r="J244" s="1">
        <f t="shared" si="7"/>
        <v>46016</v>
      </c>
      <c r="K244" t="s">
        <v>20</v>
      </c>
      <c r="L244">
        <v>1542.64</v>
      </c>
      <c r="M244">
        <v>1910.65</v>
      </c>
      <c r="N244">
        <v>2183.71</v>
      </c>
      <c r="O244">
        <v>0</v>
      </c>
    </row>
    <row r="245" spans="1:15" x14ac:dyDescent="0.3">
      <c r="A245" t="s">
        <v>284</v>
      </c>
      <c r="B245" s="1">
        <v>46007</v>
      </c>
      <c r="C245" t="s">
        <v>38</v>
      </c>
      <c r="D245" t="s">
        <v>40</v>
      </c>
      <c r="E245" t="s">
        <v>24</v>
      </c>
      <c r="F245" t="s">
        <v>25</v>
      </c>
      <c r="G245">
        <v>3529.2</v>
      </c>
      <c r="H245">
        <v>12</v>
      </c>
      <c r="I245" s="1">
        <f t="shared" si="6"/>
        <v>46019</v>
      </c>
      <c r="J245" s="1">
        <f t="shared" si="7"/>
        <v>46019</v>
      </c>
      <c r="K245" t="s">
        <v>20</v>
      </c>
      <c r="L245">
        <v>1387.03</v>
      </c>
      <c r="M245">
        <v>1514.72</v>
      </c>
      <c r="N245">
        <v>2113.8000000000002</v>
      </c>
      <c r="O245">
        <v>0</v>
      </c>
    </row>
    <row r="246" spans="1:15" x14ac:dyDescent="0.3">
      <c r="A246" t="s">
        <v>285</v>
      </c>
      <c r="B246" s="1">
        <v>46008</v>
      </c>
      <c r="C246" t="s">
        <v>38</v>
      </c>
      <c r="D246" t="s">
        <v>40</v>
      </c>
      <c r="E246" t="s">
        <v>24</v>
      </c>
      <c r="F246" t="s">
        <v>19</v>
      </c>
      <c r="G246">
        <v>922.2</v>
      </c>
      <c r="H246">
        <v>12</v>
      </c>
      <c r="I246" s="1">
        <f t="shared" si="6"/>
        <v>46020</v>
      </c>
      <c r="J246" s="1">
        <f t="shared" si="7"/>
        <v>46020</v>
      </c>
      <c r="K246" t="s">
        <v>20</v>
      </c>
      <c r="L246">
        <v>1798.87</v>
      </c>
      <c r="M246">
        <v>2057.36</v>
      </c>
      <c r="N246">
        <v>2916.54</v>
      </c>
      <c r="O246">
        <v>0</v>
      </c>
    </row>
    <row r="247" spans="1:15" x14ac:dyDescent="0.3">
      <c r="A247" t="s">
        <v>286</v>
      </c>
      <c r="B247" s="1">
        <v>46009</v>
      </c>
      <c r="C247" t="s">
        <v>16</v>
      </c>
      <c r="D247" t="s">
        <v>52</v>
      </c>
      <c r="E247" t="s">
        <v>18</v>
      </c>
      <c r="F247" t="s">
        <v>19</v>
      </c>
      <c r="G247">
        <v>4140.2</v>
      </c>
      <c r="H247">
        <v>4</v>
      </c>
      <c r="I247" s="1">
        <f t="shared" si="6"/>
        <v>46013</v>
      </c>
      <c r="J247" s="1">
        <f t="shared" si="7"/>
        <v>46013</v>
      </c>
      <c r="K247" t="s">
        <v>20</v>
      </c>
      <c r="L247">
        <v>1161.3800000000001</v>
      </c>
      <c r="M247">
        <v>1226.82</v>
      </c>
      <c r="N247">
        <v>1751.49</v>
      </c>
      <c r="O247">
        <v>0</v>
      </c>
    </row>
    <row r="248" spans="1:15" x14ac:dyDescent="0.3">
      <c r="A248" t="s">
        <v>287</v>
      </c>
      <c r="B248" s="1">
        <v>46010</v>
      </c>
      <c r="C248" t="s">
        <v>50</v>
      </c>
      <c r="D248" t="s">
        <v>45</v>
      </c>
      <c r="E248" t="s">
        <v>18</v>
      </c>
      <c r="F248" t="s">
        <v>25</v>
      </c>
      <c r="G248">
        <v>6324.5</v>
      </c>
      <c r="H248">
        <v>2</v>
      </c>
      <c r="I248" s="1">
        <f t="shared" si="6"/>
        <v>46012</v>
      </c>
      <c r="J248" s="1">
        <f t="shared" si="7"/>
        <v>46012</v>
      </c>
      <c r="K248" t="s">
        <v>20</v>
      </c>
      <c r="L248">
        <v>707.83</v>
      </c>
      <c r="M248">
        <v>824.32</v>
      </c>
      <c r="N248">
        <v>1200.57</v>
      </c>
      <c r="O248">
        <v>0</v>
      </c>
    </row>
    <row r="249" spans="1:15" x14ac:dyDescent="0.3">
      <c r="A249" t="s">
        <v>288</v>
      </c>
      <c r="B249" s="1">
        <v>46011</v>
      </c>
      <c r="C249" t="s">
        <v>50</v>
      </c>
      <c r="D249" t="s">
        <v>42</v>
      </c>
      <c r="E249" t="s">
        <v>24</v>
      </c>
      <c r="F249" t="s">
        <v>25</v>
      </c>
      <c r="G249">
        <v>3726</v>
      </c>
      <c r="H249">
        <v>10</v>
      </c>
      <c r="I249" s="1">
        <f t="shared" si="6"/>
        <v>46021</v>
      </c>
      <c r="J249" s="1">
        <f t="shared" si="7"/>
        <v>46025</v>
      </c>
      <c r="K249" t="s">
        <v>20</v>
      </c>
      <c r="L249">
        <v>1056.1099999999999</v>
      </c>
      <c r="M249">
        <v>1105.81</v>
      </c>
      <c r="N249">
        <v>1469.42</v>
      </c>
      <c r="O249">
        <v>4</v>
      </c>
    </row>
    <row r="250" spans="1:15" x14ac:dyDescent="0.3">
      <c r="A250" t="s">
        <v>289</v>
      </c>
      <c r="B250" s="1">
        <v>46012</v>
      </c>
      <c r="C250" t="s">
        <v>22</v>
      </c>
      <c r="D250" t="s">
        <v>52</v>
      </c>
      <c r="E250" t="s">
        <v>18</v>
      </c>
      <c r="F250" t="s">
        <v>25</v>
      </c>
      <c r="G250">
        <v>5940</v>
      </c>
      <c r="H250">
        <v>4</v>
      </c>
      <c r="I250" s="1">
        <f t="shared" si="6"/>
        <v>46016</v>
      </c>
      <c r="J250" s="1">
        <f t="shared" si="7"/>
        <v>46016</v>
      </c>
      <c r="K250" t="s">
        <v>20</v>
      </c>
      <c r="L250">
        <v>1137.8399999999999</v>
      </c>
      <c r="M250">
        <v>1247.81</v>
      </c>
      <c r="N250">
        <v>1455.96</v>
      </c>
      <c r="O250">
        <v>0</v>
      </c>
    </row>
    <row r="251" spans="1:15" x14ac:dyDescent="0.3">
      <c r="A251" t="s">
        <v>290</v>
      </c>
      <c r="B251" s="1">
        <v>46013</v>
      </c>
      <c r="C251" t="s">
        <v>22</v>
      </c>
      <c r="D251" t="s">
        <v>17</v>
      </c>
      <c r="E251" t="s">
        <v>18</v>
      </c>
      <c r="F251" t="s">
        <v>25</v>
      </c>
      <c r="G251">
        <v>7705.5</v>
      </c>
      <c r="H251">
        <v>3</v>
      </c>
      <c r="I251" s="1">
        <f t="shared" si="6"/>
        <v>46016</v>
      </c>
      <c r="J251" s="1">
        <f t="shared" si="7"/>
        <v>46023</v>
      </c>
      <c r="K251" t="s">
        <v>20</v>
      </c>
      <c r="L251">
        <v>831.92</v>
      </c>
      <c r="M251">
        <v>981.64</v>
      </c>
      <c r="N251">
        <v>1089.67</v>
      </c>
      <c r="O251">
        <v>7</v>
      </c>
    </row>
    <row r="252" spans="1:15" x14ac:dyDescent="0.3">
      <c r="A252" t="s">
        <v>291</v>
      </c>
      <c r="B252" s="1">
        <v>46014</v>
      </c>
      <c r="C252" t="s">
        <v>27</v>
      </c>
      <c r="D252" t="s">
        <v>17</v>
      </c>
      <c r="E252" t="s">
        <v>18</v>
      </c>
      <c r="F252" t="s">
        <v>19</v>
      </c>
      <c r="G252">
        <v>4572</v>
      </c>
      <c r="H252">
        <v>3</v>
      </c>
      <c r="I252" s="1">
        <f t="shared" si="6"/>
        <v>46017</v>
      </c>
      <c r="J252" s="1">
        <f t="shared" si="7"/>
        <v>46018</v>
      </c>
      <c r="K252" t="s">
        <v>20</v>
      </c>
      <c r="L252">
        <v>740.75</v>
      </c>
      <c r="M252">
        <v>887.01</v>
      </c>
      <c r="N252">
        <v>896.21</v>
      </c>
      <c r="O252">
        <v>1</v>
      </c>
    </row>
    <row r="253" spans="1:15" x14ac:dyDescent="0.3">
      <c r="A253" t="s">
        <v>292</v>
      </c>
      <c r="B253" s="1">
        <v>46015</v>
      </c>
      <c r="C253" t="s">
        <v>50</v>
      </c>
      <c r="D253" t="s">
        <v>45</v>
      </c>
      <c r="E253" t="s">
        <v>18</v>
      </c>
      <c r="F253" t="s">
        <v>25</v>
      </c>
      <c r="G253">
        <v>4778.3</v>
      </c>
      <c r="H253">
        <v>2</v>
      </c>
      <c r="I253" s="1">
        <f t="shared" si="6"/>
        <v>46017</v>
      </c>
      <c r="J253" s="1">
        <f t="shared" si="7"/>
        <v>46017</v>
      </c>
      <c r="K253" t="s">
        <v>20</v>
      </c>
      <c r="L253">
        <v>513.99</v>
      </c>
      <c r="M253">
        <v>596.41999999999996</v>
      </c>
      <c r="N253">
        <v>845.19</v>
      </c>
      <c r="O253">
        <v>0</v>
      </c>
    </row>
    <row r="254" spans="1:15" x14ac:dyDescent="0.3">
      <c r="A254" t="s">
        <v>293</v>
      </c>
      <c r="B254" s="1">
        <v>46016</v>
      </c>
      <c r="C254" t="s">
        <v>31</v>
      </c>
      <c r="D254" t="s">
        <v>17</v>
      </c>
      <c r="E254" t="s">
        <v>18</v>
      </c>
      <c r="F254" t="s">
        <v>19</v>
      </c>
      <c r="G254">
        <v>4209.8</v>
      </c>
      <c r="H254">
        <v>3</v>
      </c>
      <c r="I254" s="1">
        <f t="shared" si="6"/>
        <v>46019</v>
      </c>
      <c r="J254" s="1">
        <f t="shared" si="7"/>
        <v>46021</v>
      </c>
      <c r="K254" t="s">
        <v>20</v>
      </c>
      <c r="L254">
        <v>579.08000000000004</v>
      </c>
      <c r="M254">
        <v>764.66</v>
      </c>
      <c r="N254">
        <v>962.01</v>
      </c>
      <c r="O254">
        <v>2</v>
      </c>
    </row>
    <row r="255" spans="1:15" x14ac:dyDescent="0.3">
      <c r="A255" t="s">
        <v>294</v>
      </c>
      <c r="B255" s="1">
        <v>46017</v>
      </c>
      <c r="C255" t="s">
        <v>38</v>
      </c>
      <c r="D255" t="s">
        <v>32</v>
      </c>
      <c r="E255" t="s">
        <v>24</v>
      </c>
      <c r="F255" t="s">
        <v>25</v>
      </c>
      <c r="G255">
        <v>592.29999999999995</v>
      </c>
      <c r="H255">
        <v>14</v>
      </c>
      <c r="I255" s="1">
        <f t="shared" si="6"/>
        <v>46031</v>
      </c>
      <c r="J255" s="1">
        <f t="shared" si="7"/>
        <v>46031</v>
      </c>
      <c r="K255" t="s">
        <v>20</v>
      </c>
      <c r="L255">
        <v>1558.14</v>
      </c>
      <c r="M255">
        <v>1856.07</v>
      </c>
      <c r="N255">
        <v>2719.42</v>
      </c>
      <c r="O255">
        <v>0</v>
      </c>
    </row>
    <row r="256" spans="1:15" x14ac:dyDescent="0.3">
      <c r="A256" t="s">
        <v>295</v>
      </c>
      <c r="B256" s="1">
        <v>46018</v>
      </c>
      <c r="C256" t="s">
        <v>38</v>
      </c>
      <c r="D256" t="s">
        <v>52</v>
      </c>
      <c r="E256" t="s">
        <v>18</v>
      </c>
      <c r="F256" t="s">
        <v>25</v>
      </c>
      <c r="G256">
        <v>4888.1000000000004</v>
      </c>
      <c r="H256">
        <v>4</v>
      </c>
      <c r="I256" s="1">
        <f t="shared" si="6"/>
        <v>46022</v>
      </c>
      <c r="J256" s="1">
        <f t="shared" si="7"/>
        <v>46022</v>
      </c>
      <c r="K256" t="s">
        <v>20</v>
      </c>
      <c r="L256">
        <v>844.65</v>
      </c>
      <c r="M256">
        <v>947.6</v>
      </c>
      <c r="N256">
        <v>1204.7</v>
      </c>
      <c r="O256">
        <v>0</v>
      </c>
    </row>
    <row r="257" spans="1:15" x14ac:dyDescent="0.3">
      <c r="A257" t="s">
        <v>296</v>
      </c>
      <c r="B257" s="1">
        <v>46019</v>
      </c>
      <c r="C257" t="s">
        <v>27</v>
      </c>
      <c r="D257" t="s">
        <v>32</v>
      </c>
      <c r="E257" t="s">
        <v>24</v>
      </c>
      <c r="F257" t="s">
        <v>25</v>
      </c>
      <c r="G257">
        <v>3942.3</v>
      </c>
      <c r="H257">
        <v>14</v>
      </c>
      <c r="I257" s="1">
        <f t="shared" si="6"/>
        <v>46033</v>
      </c>
      <c r="J257" s="1">
        <f t="shared" si="7"/>
        <v>46034</v>
      </c>
      <c r="K257" t="s">
        <v>20</v>
      </c>
      <c r="L257">
        <v>2043.12</v>
      </c>
      <c r="M257">
        <v>2167.04</v>
      </c>
      <c r="N257">
        <v>2773.24</v>
      </c>
      <c r="O257">
        <v>1</v>
      </c>
    </row>
    <row r="258" spans="1:15" x14ac:dyDescent="0.3">
      <c r="A258" t="s">
        <v>297</v>
      </c>
      <c r="B258" s="1">
        <v>46020</v>
      </c>
      <c r="C258" t="s">
        <v>31</v>
      </c>
      <c r="D258" t="s">
        <v>42</v>
      </c>
      <c r="E258" t="s">
        <v>24</v>
      </c>
      <c r="F258" t="s">
        <v>19</v>
      </c>
      <c r="G258">
        <v>2094.8000000000002</v>
      </c>
      <c r="H258">
        <v>10</v>
      </c>
      <c r="I258" s="1">
        <f t="shared" si="6"/>
        <v>46030</v>
      </c>
      <c r="J258" s="1">
        <f t="shared" si="7"/>
        <v>46030</v>
      </c>
      <c r="K258" t="s">
        <v>20</v>
      </c>
      <c r="L258">
        <v>1640.4</v>
      </c>
      <c r="M258">
        <v>1863.8</v>
      </c>
      <c r="N258">
        <v>2054.85</v>
      </c>
      <c r="O258">
        <v>0</v>
      </c>
    </row>
    <row r="259" spans="1:15" x14ac:dyDescent="0.3">
      <c r="A259" t="s">
        <v>298</v>
      </c>
      <c r="B259" s="1">
        <v>46021</v>
      </c>
      <c r="C259" t="s">
        <v>34</v>
      </c>
      <c r="D259" t="s">
        <v>64</v>
      </c>
      <c r="E259" t="s">
        <v>18</v>
      </c>
      <c r="F259" t="s">
        <v>25</v>
      </c>
      <c r="G259">
        <v>1633.1</v>
      </c>
      <c r="H259">
        <v>2</v>
      </c>
      <c r="I259" s="1">
        <f t="shared" ref="I259:I301" si="8">B259+H259</f>
        <v>46023</v>
      </c>
      <c r="J259" s="1">
        <f t="shared" ref="J259:J301" si="9">IF(O259="","",I259+O259)</f>
        <v>46023</v>
      </c>
      <c r="K259" t="s">
        <v>20</v>
      </c>
      <c r="L259">
        <v>546.12</v>
      </c>
      <c r="M259">
        <v>671.41</v>
      </c>
      <c r="N259">
        <v>800.87</v>
      </c>
      <c r="O259">
        <v>0</v>
      </c>
    </row>
    <row r="260" spans="1:15" x14ac:dyDescent="0.3">
      <c r="A260" t="s">
        <v>299</v>
      </c>
      <c r="B260" s="1">
        <v>46022</v>
      </c>
      <c r="C260" t="s">
        <v>31</v>
      </c>
      <c r="D260" t="s">
        <v>32</v>
      </c>
      <c r="E260" t="s">
        <v>24</v>
      </c>
      <c r="F260" t="s">
        <v>19</v>
      </c>
      <c r="G260">
        <v>6763.9</v>
      </c>
      <c r="H260">
        <v>14</v>
      </c>
      <c r="I260" s="1">
        <f t="shared" si="8"/>
        <v>46036</v>
      </c>
      <c r="J260" s="1">
        <f t="shared" si="9"/>
        <v>46036</v>
      </c>
      <c r="K260" t="s">
        <v>20</v>
      </c>
      <c r="L260">
        <v>1484.58</v>
      </c>
      <c r="M260">
        <v>1636.1</v>
      </c>
      <c r="N260">
        <v>2248.87</v>
      </c>
      <c r="O260">
        <v>0</v>
      </c>
    </row>
    <row r="261" spans="1:15" x14ac:dyDescent="0.3">
      <c r="A261" t="s">
        <v>300</v>
      </c>
      <c r="B261" s="1">
        <v>46023</v>
      </c>
      <c r="C261" t="s">
        <v>38</v>
      </c>
      <c r="D261" t="s">
        <v>17</v>
      </c>
      <c r="E261" t="s">
        <v>18</v>
      </c>
      <c r="F261" t="s">
        <v>19</v>
      </c>
      <c r="G261">
        <v>6548.1</v>
      </c>
      <c r="H261">
        <v>3</v>
      </c>
      <c r="I261" s="1">
        <f t="shared" si="8"/>
        <v>46026</v>
      </c>
      <c r="J261" s="1">
        <f t="shared" si="9"/>
        <v>46026</v>
      </c>
      <c r="K261" t="s">
        <v>20</v>
      </c>
      <c r="L261">
        <v>731.8</v>
      </c>
      <c r="M261">
        <v>900.8</v>
      </c>
      <c r="N261">
        <v>984.69</v>
      </c>
      <c r="O261">
        <v>0</v>
      </c>
    </row>
    <row r="262" spans="1:15" x14ac:dyDescent="0.3">
      <c r="A262" t="s">
        <v>301</v>
      </c>
      <c r="B262" s="1">
        <v>46024</v>
      </c>
      <c r="C262" t="s">
        <v>31</v>
      </c>
      <c r="D262" t="s">
        <v>40</v>
      </c>
      <c r="E262" t="s">
        <v>24</v>
      </c>
      <c r="F262" t="s">
        <v>25</v>
      </c>
      <c r="G262">
        <v>3648.7</v>
      </c>
      <c r="H262">
        <v>12</v>
      </c>
      <c r="I262" s="1">
        <f t="shared" si="8"/>
        <v>46036</v>
      </c>
      <c r="J262" s="1">
        <f t="shared" si="9"/>
        <v>46036</v>
      </c>
      <c r="K262" t="s">
        <v>20</v>
      </c>
      <c r="L262">
        <v>1730.43</v>
      </c>
      <c r="M262">
        <v>1901.69</v>
      </c>
      <c r="N262">
        <v>2221.06</v>
      </c>
      <c r="O262">
        <v>0</v>
      </c>
    </row>
    <row r="263" spans="1:15" x14ac:dyDescent="0.3">
      <c r="A263" t="s">
        <v>302</v>
      </c>
      <c r="B263" s="1">
        <v>46025</v>
      </c>
      <c r="C263" t="s">
        <v>31</v>
      </c>
      <c r="D263" t="s">
        <v>40</v>
      </c>
      <c r="E263" t="s">
        <v>24</v>
      </c>
      <c r="F263" t="s">
        <v>25</v>
      </c>
      <c r="G263">
        <v>2530.1999999999998</v>
      </c>
      <c r="H263">
        <v>12</v>
      </c>
      <c r="I263" s="1">
        <f t="shared" si="8"/>
        <v>46037</v>
      </c>
      <c r="J263" s="1">
        <f t="shared" si="9"/>
        <v>46039</v>
      </c>
      <c r="K263" t="s">
        <v>20</v>
      </c>
      <c r="L263">
        <v>1735.67</v>
      </c>
      <c r="M263">
        <v>2031.71</v>
      </c>
      <c r="N263">
        <v>2726.02</v>
      </c>
      <c r="O263">
        <v>2</v>
      </c>
    </row>
    <row r="264" spans="1:15" x14ac:dyDescent="0.3">
      <c r="A264" t="s">
        <v>303</v>
      </c>
      <c r="B264" s="1">
        <v>46026</v>
      </c>
      <c r="C264" t="s">
        <v>16</v>
      </c>
      <c r="D264" t="s">
        <v>17</v>
      </c>
      <c r="E264" t="s">
        <v>18</v>
      </c>
      <c r="F264" t="s">
        <v>25</v>
      </c>
      <c r="G264">
        <v>551.4</v>
      </c>
      <c r="H264">
        <v>3</v>
      </c>
      <c r="I264" s="1">
        <f t="shared" si="8"/>
        <v>46029</v>
      </c>
      <c r="J264" s="1">
        <f t="shared" si="9"/>
        <v>46031</v>
      </c>
      <c r="K264" t="s">
        <v>20</v>
      </c>
      <c r="L264">
        <v>843.69</v>
      </c>
      <c r="M264">
        <v>980.85</v>
      </c>
      <c r="N264">
        <v>1078.68</v>
      </c>
      <c r="O264">
        <v>2</v>
      </c>
    </row>
    <row r="265" spans="1:15" x14ac:dyDescent="0.3">
      <c r="A265" t="s">
        <v>304</v>
      </c>
      <c r="B265" s="1">
        <v>46027</v>
      </c>
      <c r="C265" t="s">
        <v>34</v>
      </c>
      <c r="D265" t="s">
        <v>42</v>
      </c>
      <c r="E265" t="s">
        <v>24</v>
      </c>
      <c r="F265" t="s">
        <v>25</v>
      </c>
      <c r="G265">
        <v>7210.5</v>
      </c>
      <c r="H265">
        <v>10</v>
      </c>
      <c r="I265" s="1">
        <f t="shared" si="8"/>
        <v>46037</v>
      </c>
      <c r="J265" s="1">
        <f t="shared" si="9"/>
        <v>46037</v>
      </c>
      <c r="K265" t="s">
        <v>20</v>
      </c>
      <c r="L265">
        <v>1275.22</v>
      </c>
      <c r="M265">
        <v>1365.42</v>
      </c>
      <c r="N265">
        <v>1815.6</v>
      </c>
      <c r="O265">
        <v>0</v>
      </c>
    </row>
    <row r="266" spans="1:15" x14ac:dyDescent="0.3">
      <c r="A266" t="s">
        <v>305</v>
      </c>
      <c r="B266" s="1">
        <v>46028</v>
      </c>
      <c r="C266" t="s">
        <v>44</v>
      </c>
      <c r="D266" t="s">
        <v>23</v>
      </c>
      <c r="E266" t="s">
        <v>24</v>
      </c>
      <c r="F266" t="s">
        <v>25</v>
      </c>
      <c r="G266">
        <v>4821.6000000000004</v>
      </c>
      <c r="H266">
        <v>6</v>
      </c>
      <c r="I266" s="1">
        <f t="shared" si="8"/>
        <v>46034</v>
      </c>
      <c r="J266" s="1">
        <f t="shared" si="9"/>
        <v>46039</v>
      </c>
      <c r="K266" t="s">
        <v>20</v>
      </c>
      <c r="L266">
        <v>858.67</v>
      </c>
      <c r="M266">
        <v>969.08</v>
      </c>
      <c r="N266">
        <v>1458.68</v>
      </c>
      <c r="O266">
        <v>5</v>
      </c>
    </row>
    <row r="267" spans="1:15" x14ac:dyDescent="0.3">
      <c r="A267" t="s">
        <v>306</v>
      </c>
      <c r="B267" s="1">
        <v>46029</v>
      </c>
      <c r="C267" t="s">
        <v>22</v>
      </c>
      <c r="D267" t="s">
        <v>23</v>
      </c>
      <c r="E267" t="s">
        <v>24</v>
      </c>
      <c r="F267" t="s">
        <v>25</v>
      </c>
      <c r="G267">
        <v>4277.5</v>
      </c>
      <c r="H267">
        <v>6</v>
      </c>
      <c r="I267" s="1">
        <f t="shared" si="8"/>
        <v>46035</v>
      </c>
      <c r="J267" s="1">
        <f t="shared" si="9"/>
        <v>46035</v>
      </c>
      <c r="K267" t="s">
        <v>20</v>
      </c>
      <c r="L267">
        <v>930.67</v>
      </c>
      <c r="M267">
        <v>1057.0899999999999</v>
      </c>
      <c r="N267">
        <v>1528.96</v>
      </c>
      <c r="O267">
        <v>0</v>
      </c>
    </row>
    <row r="268" spans="1:15" x14ac:dyDescent="0.3">
      <c r="A268" t="s">
        <v>307</v>
      </c>
      <c r="B268" s="1">
        <v>46030</v>
      </c>
      <c r="C268" t="s">
        <v>34</v>
      </c>
      <c r="D268" t="s">
        <v>52</v>
      </c>
      <c r="E268" t="s">
        <v>18</v>
      </c>
      <c r="F268" t="s">
        <v>25</v>
      </c>
      <c r="G268">
        <v>7288.3</v>
      </c>
      <c r="H268">
        <v>4</v>
      </c>
      <c r="I268" s="1">
        <f t="shared" si="8"/>
        <v>46034</v>
      </c>
      <c r="J268" s="1">
        <f t="shared" si="9"/>
        <v>46035</v>
      </c>
      <c r="K268" t="s">
        <v>20</v>
      </c>
      <c r="L268">
        <v>1018.83</v>
      </c>
      <c r="M268">
        <v>1187.3699999999999</v>
      </c>
      <c r="N268">
        <v>1456.93</v>
      </c>
      <c r="O268">
        <v>1</v>
      </c>
    </row>
    <row r="269" spans="1:15" x14ac:dyDescent="0.3">
      <c r="A269" t="s">
        <v>308</v>
      </c>
      <c r="B269" s="1">
        <v>46031</v>
      </c>
      <c r="C269" t="s">
        <v>44</v>
      </c>
      <c r="D269" t="s">
        <v>28</v>
      </c>
      <c r="E269" t="s">
        <v>29</v>
      </c>
      <c r="F269" t="s">
        <v>19</v>
      </c>
      <c r="G269">
        <v>4755.1000000000004</v>
      </c>
      <c r="H269">
        <v>2</v>
      </c>
      <c r="I269" s="1">
        <f t="shared" si="8"/>
        <v>46033</v>
      </c>
      <c r="J269" s="1">
        <f t="shared" si="9"/>
        <v>46033</v>
      </c>
      <c r="K269" t="s">
        <v>20</v>
      </c>
      <c r="L269">
        <v>286.74</v>
      </c>
      <c r="M269">
        <v>380.11</v>
      </c>
      <c r="N269">
        <v>456.04</v>
      </c>
      <c r="O269">
        <v>0</v>
      </c>
    </row>
    <row r="270" spans="1:15" x14ac:dyDescent="0.3">
      <c r="A270" t="s">
        <v>309</v>
      </c>
      <c r="B270" s="1">
        <v>46032</v>
      </c>
      <c r="C270" t="s">
        <v>50</v>
      </c>
      <c r="D270" t="s">
        <v>23</v>
      </c>
      <c r="E270" t="s">
        <v>24</v>
      </c>
      <c r="F270" t="s">
        <v>25</v>
      </c>
      <c r="G270">
        <v>3019.7</v>
      </c>
      <c r="H270">
        <v>6</v>
      </c>
      <c r="I270" s="1">
        <f t="shared" si="8"/>
        <v>46038</v>
      </c>
      <c r="J270" s="1">
        <f t="shared" si="9"/>
        <v>46038</v>
      </c>
      <c r="K270" t="s">
        <v>20</v>
      </c>
      <c r="L270">
        <v>890.53</v>
      </c>
      <c r="M270">
        <v>922.43</v>
      </c>
      <c r="N270">
        <v>1275.6099999999999</v>
      </c>
      <c r="O270">
        <v>0</v>
      </c>
    </row>
    <row r="271" spans="1:15" x14ac:dyDescent="0.3">
      <c r="A271" t="s">
        <v>310</v>
      </c>
      <c r="B271" s="1">
        <v>46033</v>
      </c>
      <c r="C271" t="s">
        <v>16</v>
      </c>
      <c r="D271" t="s">
        <v>32</v>
      </c>
      <c r="E271" t="s">
        <v>24</v>
      </c>
      <c r="F271" t="s">
        <v>19</v>
      </c>
      <c r="G271">
        <v>2819.3</v>
      </c>
      <c r="H271">
        <v>14</v>
      </c>
      <c r="I271" s="1">
        <f t="shared" si="8"/>
        <v>46047</v>
      </c>
      <c r="J271" s="1">
        <f t="shared" si="9"/>
        <v>46047</v>
      </c>
      <c r="K271" t="s">
        <v>20</v>
      </c>
      <c r="L271">
        <v>1617.89</v>
      </c>
      <c r="M271">
        <v>1892.4</v>
      </c>
      <c r="N271">
        <v>2737.08</v>
      </c>
      <c r="O271">
        <v>0</v>
      </c>
    </row>
    <row r="272" spans="1:15" x14ac:dyDescent="0.3">
      <c r="A272" t="s">
        <v>311</v>
      </c>
      <c r="B272" s="1">
        <v>46034</v>
      </c>
      <c r="C272" t="s">
        <v>16</v>
      </c>
      <c r="D272" t="s">
        <v>69</v>
      </c>
      <c r="E272" t="s">
        <v>29</v>
      </c>
      <c r="F272" t="s">
        <v>25</v>
      </c>
      <c r="G272">
        <v>4675.3999999999996</v>
      </c>
      <c r="H272">
        <v>2</v>
      </c>
      <c r="I272" s="1">
        <f t="shared" si="8"/>
        <v>46036</v>
      </c>
      <c r="J272" s="1">
        <f t="shared" si="9"/>
        <v>46036</v>
      </c>
      <c r="K272" t="s">
        <v>20</v>
      </c>
      <c r="L272">
        <v>194.48</v>
      </c>
      <c r="M272">
        <v>224.73</v>
      </c>
      <c r="N272">
        <v>334.1</v>
      </c>
      <c r="O272">
        <v>0</v>
      </c>
    </row>
    <row r="273" spans="1:15" x14ac:dyDescent="0.3">
      <c r="A273" t="s">
        <v>312</v>
      </c>
      <c r="B273" s="1">
        <v>46035</v>
      </c>
      <c r="C273" t="s">
        <v>27</v>
      </c>
      <c r="D273" t="s">
        <v>32</v>
      </c>
      <c r="E273" t="s">
        <v>24</v>
      </c>
      <c r="F273" t="s">
        <v>25</v>
      </c>
      <c r="G273">
        <v>3360.1</v>
      </c>
      <c r="H273">
        <v>14</v>
      </c>
      <c r="I273" s="1">
        <f t="shared" si="8"/>
        <v>46049</v>
      </c>
      <c r="J273" s="1">
        <f t="shared" si="9"/>
        <v>46054</v>
      </c>
      <c r="K273" t="s">
        <v>20</v>
      </c>
      <c r="L273">
        <v>1799.85</v>
      </c>
      <c r="M273">
        <v>1967.08</v>
      </c>
      <c r="N273">
        <v>2808.03</v>
      </c>
      <c r="O273">
        <v>5</v>
      </c>
    </row>
    <row r="274" spans="1:15" x14ac:dyDescent="0.3">
      <c r="A274" t="s">
        <v>313</v>
      </c>
      <c r="B274" s="1">
        <v>46036</v>
      </c>
      <c r="C274" t="s">
        <v>50</v>
      </c>
      <c r="D274" t="s">
        <v>64</v>
      </c>
      <c r="E274" t="s">
        <v>18</v>
      </c>
      <c r="F274" t="s">
        <v>25</v>
      </c>
      <c r="G274">
        <v>3048.4</v>
      </c>
      <c r="H274">
        <v>2</v>
      </c>
      <c r="I274" s="1">
        <f t="shared" si="8"/>
        <v>46038</v>
      </c>
      <c r="J274" s="1">
        <f t="shared" si="9"/>
        <v>46038</v>
      </c>
      <c r="K274" t="s">
        <v>20</v>
      </c>
      <c r="L274">
        <v>502.29</v>
      </c>
      <c r="M274">
        <v>659.67</v>
      </c>
      <c r="N274">
        <v>758.99</v>
      </c>
      <c r="O274">
        <v>0</v>
      </c>
    </row>
    <row r="275" spans="1:15" x14ac:dyDescent="0.3">
      <c r="A275" t="s">
        <v>314</v>
      </c>
      <c r="B275" s="1">
        <v>46037</v>
      </c>
      <c r="C275" t="s">
        <v>16</v>
      </c>
      <c r="D275" t="s">
        <v>64</v>
      </c>
      <c r="E275" t="s">
        <v>18</v>
      </c>
      <c r="F275" t="s">
        <v>25</v>
      </c>
      <c r="G275">
        <v>7768.3</v>
      </c>
      <c r="H275">
        <v>2</v>
      </c>
      <c r="I275" s="1">
        <f t="shared" si="8"/>
        <v>46039</v>
      </c>
      <c r="J275" s="1">
        <f t="shared" si="9"/>
        <v>46046</v>
      </c>
      <c r="K275" t="s">
        <v>20</v>
      </c>
      <c r="L275">
        <v>502.08</v>
      </c>
      <c r="M275">
        <v>629.34</v>
      </c>
      <c r="N275">
        <v>685.03</v>
      </c>
      <c r="O275">
        <v>7</v>
      </c>
    </row>
    <row r="276" spans="1:15" x14ac:dyDescent="0.3">
      <c r="A276" t="s">
        <v>315</v>
      </c>
      <c r="B276" s="1">
        <v>46038</v>
      </c>
      <c r="C276" t="s">
        <v>38</v>
      </c>
      <c r="D276" t="s">
        <v>45</v>
      </c>
      <c r="E276" t="s">
        <v>18</v>
      </c>
      <c r="F276" t="s">
        <v>19</v>
      </c>
      <c r="G276">
        <v>2133.9</v>
      </c>
      <c r="H276">
        <v>2</v>
      </c>
      <c r="I276" s="1">
        <f t="shared" si="8"/>
        <v>46040</v>
      </c>
      <c r="J276" s="1">
        <f t="shared" si="9"/>
        <v>46040</v>
      </c>
      <c r="K276" t="s">
        <v>20</v>
      </c>
      <c r="L276">
        <v>564.89</v>
      </c>
      <c r="M276">
        <v>651.97</v>
      </c>
      <c r="N276">
        <v>828.62</v>
      </c>
      <c r="O276">
        <v>0</v>
      </c>
    </row>
    <row r="277" spans="1:15" x14ac:dyDescent="0.3">
      <c r="A277" t="s">
        <v>316</v>
      </c>
      <c r="B277" s="1">
        <v>46039</v>
      </c>
      <c r="C277" t="s">
        <v>38</v>
      </c>
      <c r="D277" t="s">
        <v>40</v>
      </c>
      <c r="E277" t="s">
        <v>24</v>
      </c>
      <c r="F277" t="s">
        <v>19</v>
      </c>
      <c r="G277">
        <v>7997.7</v>
      </c>
      <c r="H277">
        <v>12</v>
      </c>
      <c r="I277" s="1">
        <f t="shared" si="8"/>
        <v>46051</v>
      </c>
      <c r="J277" s="1">
        <f t="shared" si="9"/>
        <v>46056</v>
      </c>
      <c r="K277" t="s">
        <v>20</v>
      </c>
      <c r="L277">
        <v>1523.91</v>
      </c>
      <c r="M277">
        <v>1679.06</v>
      </c>
      <c r="N277">
        <v>2267.13</v>
      </c>
      <c r="O277">
        <v>5</v>
      </c>
    </row>
    <row r="278" spans="1:15" x14ac:dyDescent="0.3">
      <c r="A278" t="s">
        <v>317</v>
      </c>
      <c r="B278" s="1">
        <v>46040</v>
      </c>
      <c r="C278" t="s">
        <v>50</v>
      </c>
      <c r="D278" t="s">
        <v>42</v>
      </c>
      <c r="E278" t="s">
        <v>24</v>
      </c>
      <c r="F278" t="s">
        <v>19</v>
      </c>
      <c r="G278">
        <v>5868.1</v>
      </c>
      <c r="H278">
        <v>10</v>
      </c>
      <c r="I278" s="1">
        <f t="shared" si="8"/>
        <v>46050</v>
      </c>
      <c r="J278" s="1">
        <f t="shared" si="9"/>
        <v>46054</v>
      </c>
      <c r="K278" t="s">
        <v>20</v>
      </c>
      <c r="L278">
        <v>1426.3</v>
      </c>
      <c r="M278">
        <v>1584.77</v>
      </c>
      <c r="N278">
        <v>2114.9899999999998</v>
      </c>
      <c r="O278">
        <v>4</v>
      </c>
    </row>
    <row r="279" spans="1:15" x14ac:dyDescent="0.3">
      <c r="A279" t="s">
        <v>318</v>
      </c>
      <c r="B279" s="1">
        <v>46041</v>
      </c>
      <c r="C279" t="s">
        <v>27</v>
      </c>
      <c r="D279" t="s">
        <v>45</v>
      </c>
      <c r="E279" t="s">
        <v>18</v>
      </c>
      <c r="F279" t="s">
        <v>25</v>
      </c>
      <c r="G279">
        <v>2879.4</v>
      </c>
      <c r="H279">
        <v>2</v>
      </c>
      <c r="I279" s="1">
        <f t="shared" si="8"/>
        <v>46043</v>
      </c>
      <c r="J279" s="1">
        <f t="shared" si="9"/>
        <v>46043</v>
      </c>
      <c r="K279" t="s">
        <v>20</v>
      </c>
      <c r="L279">
        <v>559.54</v>
      </c>
      <c r="M279">
        <v>732.04</v>
      </c>
      <c r="N279">
        <v>913.05</v>
      </c>
      <c r="O279">
        <v>0</v>
      </c>
    </row>
    <row r="280" spans="1:15" x14ac:dyDescent="0.3">
      <c r="A280" t="s">
        <v>319</v>
      </c>
      <c r="B280" s="1">
        <v>46042</v>
      </c>
      <c r="C280" t="s">
        <v>38</v>
      </c>
      <c r="D280" t="s">
        <v>64</v>
      </c>
      <c r="E280" t="s">
        <v>18</v>
      </c>
      <c r="F280" t="s">
        <v>25</v>
      </c>
      <c r="G280">
        <v>352.9</v>
      </c>
      <c r="H280">
        <v>2</v>
      </c>
      <c r="I280" s="1">
        <f t="shared" si="8"/>
        <v>46044</v>
      </c>
      <c r="J280" s="1">
        <f t="shared" si="9"/>
        <v>46046</v>
      </c>
      <c r="K280" t="s">
        <v>20</v>
      </c>
      <c r="L280">
        <v>462.33</v>
      </c>
      <c r="M280">
        <v>570.33000000000004</v>
      </c>
      <c r="N280">
        <v>708.9</v>
      </c>
      <c r="O280">
        <v>2</v>
      </c>
    </row>
    <row r="281" spans="1:15" x14ac:dyDescent="0.3">
      <c r="A281" t="s">
        <v>320</v>
      </c>
      <c r="B281" s="1">
        <v>46043</v>
      </c>
      <c r="C281" t="s">
        <v>50</v>
      </c>
      <c r="D281" t="s">
        <v>23</v>
      </c>
      <c r="E281" t="s">
        <v>24</v>
      </c>
      <c r="F281" t="s">
        <v>25</v>
      </c>
      <c r="G281">
        <v>4217.8</v>
      </c>
      <c r="H281">
        <v>6</v>
      </c>
      <c r="I281" s="1">
        <f t="shared" si="8"/>
        <v>46049</v>
      </c>
      <c r="J281" s="1">
        <f t="shared" si="9"/>
        <v>46056</v>
      </c>
      <c r="K281" t="s">
        <v>20</v>
      </c>
      <c r="L281">
        <v>793.68</v>
      </c>
      <c r="M281">
        <v>919.21</v>
      </c>
      <c r="N281">
        <v>1237.78</v>
      </c>
      <c r="O281">
        <v>7</v>
      </c>
    </row>
    <row r="282" spans="1:15" x14ac:dyDescent="0.3">
      <c r="A282" t="s">
        <v>321</v>
      </c>
      <c r="B282" s="1">
        <v>46044</v>
      </c>
      <c r="C282" t="s">
        <v>44</v>
      </c>
      <c r="D282" t="s">
        <v>17</v>
      </c>
      <c r="E282" t="s">
        <v>18</v>
      </c>
      <c r="F282" t="s">
        <v>25</v>
      </c>
      <c r="G282">
        <v>3308.1</v>
      </c>
      <c r="H282">
        <v>3</v>
      </c>
      <c r="I282" s="1">
        <f t="shared" si="8"/>
        <v>46047</v>
      </c>
      <c r="J282" s="1">
        <f t="shared" si="9"/>
        <v>46051</v>
      </c>
      <c r="K282" t="s">
        <v>20</v>
      </c>
      <c r="L282">
        <v>683.74</v>
      </c>
      <c r="M282">
        <v>851.81</v>
      </c>
      <c r="N282">
        <v>1198.07</v>
      </c>
      <c r="O282">
        <v>4</v>
      </c>
    </row>
    <row r="283" spans="1:15" x14ac:dyDescent="0.3">
      <c r="A283" t="s">
        <v>322</v>
      </c>
      <c r="B283" s="1">
        <v>46045</v>
      </c>
      <c r="C283" t="s">
        <v>44</v>
      </c>
      <c r="D283" t="s">
        <v>32</v>
      </c>
      <c r="E283" t="s">
        <v>24</v>
      </c>
      <c r="F283" t="s">
        <v>19</v>
      </c>
      <c r="G283">
        <v>2443.6</v>
      </c>
      <c r="H283">
        <v>14</v>
      </c>
      <c r="I283" s="1">
        <f t="shared" si="8"/>
        <v>46059</v>
      </c>
      <c r="J283" s="1">
        <f t="shared" si="9"/>
        <v>46059</v>
      </c>
      <c r="K283" t="s">
        <v>20</v>
      </c>
      <c r="L283">
        <v>1570.96</v>
      </c>
      <c r="M283">
        <v>1817.03</v>
      </c>
      <c r="N283">
        <v>2554.89</v>
      </c>
      <c r="O283">
        <v>0</v>
      </c>
    </row>
    <row r="284" spans="1:15" x14ac:dyDescent="0.3">
      <c r="A284" t="s">
        <v>323</v>
      </c>
      <c r="B284" s="1">
        <v>46046</v>
      </c>
      <c r="C284" t="s">
        <v>50</v>
      </c>
      <c r="D284" t="s">
        <v>64</v>
      </c>
      <c r="E284" t="s">
        <v>18</v>
      </c>
      <c r="F284" t="s">
        <v>25</v>
      </c>
      <c r="G284">
        <v>5526.8</v>
      </c>
      <c r="H284">
        <v>2</v>
      </c>
      <c r="I284" s="1">
        <f t="shared" si="8"/>
        <v>46048</v>
      </c>
      <c r="J284" s="1">
        <f t="shared" si="9"/>
        <v>46055</v>
      </c>
      <c r="K284" t="s">
        <v>20</v>
      </c>
      <c r="L284">
        <v>485.64</v>
      </c>
      <c r="M284">
        <v>552.39</v>
      </c>
      <c r="N284">
        <v>740.61</v>
      </c>
      <c r="O284">
        <v>7</v>
      </c>
    </row>
    <row r="285" spans="1:15" x14ac:dyDescent="0.3">
      <c r="A285" t="s">
        <v>324</v>
      </c>
      <c r="B285" s="1">
        <v>46047</v>
      </c>
      <c r="C285" t="s">
        <v>34</v>
      </c>
      <c r="D285" t="s">
        <v>64</v>
      </c>
      <c r="E285" t="s">
        <v>18</v>
      </c>
      <c r="F285" t="s">
        <v>19</v>
      </c>
      <c r="G285">
        <v>7663</v>
      </c>
      <c r="H285">
        <v>2</v>
      </c>
      <c r="I285" s="1">
        <f t="shared" si="8"/>
        <v>46049</v>
      </c>
      <c r="J285" s="1">
        <f t="shared" si="9"/>
        <v>46050</v>
      </c>
      <c r="K285" t="s">
        <v>20</v>
      </c>
      <c r="L285">
        <v>631.21</v>
      </c>
      <c r="M285">
        <v>677.51</v>
      </c>
      <c r="N285">
        <v>836.23</v>
      </c>
      <c r="O285">
        <v>1</v>
      </c>
    </row>
    <row r="286" spans="1:15" x14ac:dyDescent="0.3">
      <c r="A286" t="s">
        <v>325</v>
      </c>
      <c r="B286" s="1">
        <v>46048</v>
      </c>
      <c r="C286" t="s">
        <v>34</v>
      </c>
      <c r="D286" t="s">
        <v>23</v>
      </c>
      <c r="E286" t="s">
        <v>24</v>
      </c>
      <c r="F286" t="s">
        <v>19</v>
      </c>
      <c r="G286">
        <v>5944.6</v>
      </c>
      <c r="H286">
        <v>6</v>
      </c>
      <c r="I286" s="1">
        <f t="shared" si="8"/>
        <v>46054</v>
      </c>
      <c r="J286" s="1" t="str">
        <f t="shared" si="9"/>
        <v/>
      </c>
      <c r="K286" t="s">
        <v>229</v>
      </c>
      <c r="L286">
        <v>624.80999999999995</v>
      </c>
      <c r="M286">
        <v>681.72</v>
      </c>
      <c r="N286">
        <v>952.1</v>
      </c>
    </row>
    <row r="287" spans="1:15" x14ac:dyDescent="0.3">
      <c r="A287" t="s">
        <v>326</v>
      </c>
      <c r="B287" s="1">
        <v>46049</v>
      </c>
      <c r="C287" t="s">
        <v>31</v>
      </c>
      <c r="D287" t="s">
        <v>52</v>
      </c>
      <c r="E287" t="s">
        <v>18</v>
      </c>
      <c r="F287" t="s">
        <v>25</v>
      </c>
      <c r="G287">
        <v>3240.9</v>
      </c>
      <c r="H287">
        <v>4</v>
      </c>
      <c r="I287" s="1">
        <f t="shared" si="8"/>
        <v>46053</v>
      </c>
      <c r="J287" s="1">
        <f t="shared" si="9"/>
        <v>46054</v>
      </c>
      <c r="K287" t="s">
        <v>20</v>
      </c>
      <c r="L287">
        <v>1121.8599999999999</v>
      </c>
      <c r="M287">
        <v>1296.1300000000001</v>
      </c>
      <c r="N287">
        <v>1544.68</v>
      </c>
      <c r="O287">
        <v>1</v>
      </c>
    </row>
    <row r="288" spans="1:15" x14ac:dyDescent="0.3">
      <c r="A288" t="s">
        <v>327</v>
      </c>
      <c r="B288" s="1">
        <v>46050</v>
      </c>
      <c r="C288" t="s">
        <v>22</v>
      </c>
      <c r="D288" t="s">
        <v>32</v>
      </c>
      <c r="E288" t="s">
        <v>24</v>
      </c>
      <c r="F288" t="s">
        <v>19</v>
      </c>
      <c r="G288">
        <v>128.19999999999999</v>
      </c>
      <c r="H288">
        <v>14</v>
      </c>
      <c r="I288" s="1">
        <f t="shared" si="8"/>
        <v>46064</v>
      </c>
      <c r="J288" s="1">
        <f t="shared" si="9"/>
        <v>46064</v>
      </c>
      <c r="K288" t="s">
        <v>20</v>
      </c>
      <c r="L288">
        <v>1572.41</v>
      </c>
      <c r="M288">
        <v>1882.19</v>
      </c>
      <c r="N288">
        <v>2582.67</v>
      </c>
      <c r="O288">
        <v>0</v>
      </c>
    </row>
    <row r="289" spans="1:15" x14ac:dyDescent="0.3">
      <c r="A289" t="s">
        <v>328</v>
      </c>
      <c r="B289" s="1">
        <v>46051</v>
      </c>
      <c r="C289" t="s">
        <v>31</v>
      </c>
      <c r="D289" t="s">
        <v>64</v>
      </c>
      <c r="E289" t="s">
        <v>18</v>
      </c>
      <c r="F289" t="s">
        <v>25</v>
      </c>
      <c r="G289">
        <v>657.4</v>
      </c>
      <c r="H289">
        <v>2</v>
      </c>
      <c r="I289" s="1">
        <f t="shared" si="8"/>
        <v>46053</v>
      </c>
      <c r="J289" s="1">
        <f t="shared" si="9"/>
        <v>46053</v>
      </c>
      <c r="K289" t="s">
        <v>20</v>
      </c>
      <c r="L289">
        <v>553.65</v>
      </c>
      <c r="M289">
        <v>755.11</v>
      </c>
      <c r="N289">
        <v>743.13</v>
      </c>
      <c r="O289">
        <v>0</v>
      </c>
    </row>
    <row r="290" spans="1:15" x14ac:dyDescent="0.3">
      <c r="A290" t="s">
        <v>329</v>
      </c>
      <c r="B290" s="1">
        <v>46052</v>
      </c>
      <c r="C290" t="s">
        <v>44</v>
      </c>
      <c r="D290" t="s">
        <v>42</v>
      </c>
      <c r="E290" t="s">
        <v>24</v>
      </c>
      <c r="F290" t="s">
        <v>25</v>
      </c>
      <c r="G290">
        <v>6750.5</v>
      </c>
      <c r="H290">
        <v>10</v>
      </c>
      <c r="I290" s="1">
        <f t="shared" si="8"/>
        <v>46062</v>
      </c>
      <c r="J290" s="1">
        <f t="shared" si="9"/>
        <v>46067</v>
      </c>
      <c r="K290" t="s">
        <v>20</v>
      </c>
      <c r="L290">
        <v>1296.6300000000001</v>
      </c>
      <c r="M290">
        <v>1585.55</v>
      </c>
      <c r="N290">
        <v>2089.54</v>
      </c>
      <c r="O290">
        <v>5</v>
      </c>
    </row>
    <row r="291" spans="1:15" x14ac:dyDescent="0.3">
      <c r="A291" t="s">
        <v>330</v>
      </c>
      <c r="B291" s="1">
        <v>46053</v>
      </c>
      <c r="C291" t="s">
        <v>38</v>
      </c>
      <c r="D291" t="s">
        <v>45</v>
      </c>
      <c r="E291" t="s">
        <v>18</v>
      </c>
      <c r="F291" t="s">
        <v>25</v>
      </c>
      <c r="G291">
        <v>6946.1</v>
      </c>
      <c r="H291">
        <v>2</v>
      </c>
      <c r="I291" s="1">
        <f t="shared" si="8"/>
        <v>46055</v>
      </c>
      <c r="J291" s="1">
        <f t="shared" si="9"/>
        <v>46055</v>
      </c>
      <c r="K291" t="s">
        <v>20</v>
      </c>
      <c r="L291">
        <v>612.1</v>
      </c>
      <c r="M291">
        <v>698.73</v>
      </c>
      <c r="N291">
        <v>1004.72</v>
      </c>
      <c r="O291">
        <v>0</v>
      </c>
    </row>
    <row r="292" spans="1:15" x14ac:dyDescent="0.3">
      <c r="A292" t="s">
        <v>331</v>
      </c>
      <c r="B292" s="1">
        <v>46054</v>
      </c>
      <c r="C292" t="s">
        <v>31</v>
      </c>
      <c r="D292" t="s">
        <v>32</v>
      </c>
      <c r="E292" t="s">
        <v>24</v>
      </c>
      <c r="F292" t="s">
        <v>19</v>
      </c>
      <c r="G292">
        <v>2481.3000000000002</v>
      </c>
      <c r="H292">
        <v>14</v>
      </c>
      <c r="I292" s="1">
        <f t="shared" si="8"/>
        <v>46068</v>
      </c>
      <c r="J292" s="1">
        <f t="shared" si="9"/>
        <v>46068</v>
      </c>
      <c r="K292" t="s">
        <v>20</v>
      </c>
      <c r="L292">
        <v>2048.2800000000002</v>
      </c>
      <c r="M292">
        <v>2208.5300000000002</v>
      </c>
      <c r="N292">
        <v>2697.35</v>
      </c>
      <c r="O292">
        <v>0</v>
      </c>
    </row>
    <row r="293" spans="1:15" x14ac:dyDescent="0.3">
      <c r="A293" t="s">
        <v>332</v>
      </c>
      <c r="B293" s="1">
        <v>46055</v>
      </c>
      <c r="C293" t="s">
        <v>38</v>
      </c>
      <c r="D293" t="s">
        <v>32</v>
      </c>
      <c r="E293" t="s">
        <v>24</v>
      </c>
      <c r="F293" t="s">
        <v>25</v>
      </c>
      <c r="G293">
        <v>6604.3</v>
      </c>
      <c r="H293">
        <v>14</v>
      </c>
      <c r="I293" s="1">
        <f t="shared" si="8"/>
        <v>46069</v>
      </c>
      <c r="J293" s="1">
        <f t="shared" si="9"/>
        <v>46071</v>
      </c>
      <c r="K293" t="s">
        <v>20</v>
      </c>
      <c r="L293">
        <v>1705.95</v>
      </c>
      <c r="M293">
        <v>1995.64</v>
      </c>
      <c r="N293">
        <v>2818.71</v>
      </c>
      <c r="O293">
        <v>2</v>
      </c>
    </row>
    <row r="294" spans="1:15" x14ac:dyDescent="0.3">
      <c r="A294" t="s">
        <v>333</v>
      </c>
      <c r="B294" s="1">
        <v>46056</v>
      </c>
      <c r="C294" t="s">
        <v>16</v>
      </c>
      <c r="D294" t="s">
        <v>28</v>
      </c>
      <c r="E294" t="s">
        <v>29</v>
      </c>
      <c r="F294" t="s">
        <v>25</v>
      </c>
      <c r="G294">
        <v>4780.3999999999996</v>
      </c>
      <c r="H294">
        <v>2</v>
      </c>
      <c r="I294" s="1">
        <f t="shared" si="8"/>
        <v>46058</v>
      </c>
      <c r="J294" s="1">
        <f t="shared" si="9"/>
        <v>46058</v>
      </c>
      <c r="K294" t="s">
        <v>20</v>
      </c>
      <c r="L294">
        <v>208.02</v>
      </c>
      <c r="M294">
        <v>229.19</v>
      </c>
      <c r="N294">
        <v>329.12</v>
      </c>
      <c r="O294">
        <v>0</v>
      </c>
    </row>
    <row r="295" spans="1:15" x14ac:dyDescent="0.3">
      <c r="A295" t="s">
        <v>334</v>
      </c>
      <c r="B295" s="1">
        <v>46057</v>
      </c>
      <c r="C295" t="s">
        <v>34</v>
      </c>
      <c r="D295" t="s">
        <v>52</v>
      </c>
      <c r="E295" t="s">
        <v>18</v>
      </c>
      <c r="F295" t="s">
        <v>19</v>
      </c>
      <c r="G295">
        <v>6627.6</v>
      </c>
      <c r="H295">
        <v>4</v>
      </c>
      <c r="I295" s="1">
        <f t="shared" si="8"/>
        <v>46061</v>
      </c>
      <c r="J295" s="1">
        <f t="shared" si="9"/>
        <v>46061</v>
      </c>
      <c r="K295" t="s">
        <v>20</v>
      </c>
      <c r="L295">
        <v>892.85</v>
      </c>
      <c r="M295">
        <v>1091.55</v>
      </c>
      <c r="N295">
        <v>1547.55</v>
      </c>
      <c r="O295">
        <v>0</v>
      </c>
    </row>
    <row r="296" spans="1:15" x14ac:dyDescent="0.3">
      <c r="A296" t="s">
        <v>335</v>
      </c>
      <c r="B296" s="1">
        <v>46058</v>
      </c>
      <c r="C296" t="s">
        <v>50</v>
      </c>
      <c r="D296" t="s">
        <v>28</v>
      </c>
      <c r="E296" t="s">
        <v>29</v>
      </c>
      <c r="F296" t="s">
        <v>25</v>
      </c>
      <c r="G296">
        <v>3068.3</v>
      </c>
      <c r="H296">
        <v>2</v>
      </c>
      <c r="I296" s="1">
        <f t="shared" si="8"/>
        <v>46060</v>
      </c>
      <c r="J296" s="1">
        <f t="shared" si="9"/>
        <v>46060</v>
      </c>
      <c r="K296" t="s">
        <v>20</v>
      </c>
      <c r="L296">
        <v>300.31</v>
      </c>
      <c r="M296">
        <v>424.16</v>
      </c>
      <c r="N296">
        <v>460.53</v>
      </c>
      <c r="O296">
        <v>0</v>
      </c>
    </row>
    <row r="297" spans="1:15" x14ac:dyDescent="0.3">
      <c r="A297" t="s">
        <v>336</v>
      </c>
      <c r="B297" s="1">
        <v>46059</v>
      </c>
      <c r="C297" t="s">
        <v>38</v>
      </c>
      <c r="D297" t="s">
        <v>23</v>
      </c>
      <c r="E297" t="s">
        <v>24</v>
      </c>
      <c r="F297" t="s">
        <v>19</v>
      </c>
      <c r="G297">
        <v>114.6</v>
      </c>
      <c r="H297">
        <v>6</v>
      </c>
      <c r="I297" s="1">
        <f t="shared" si="8"/>
        <v>46065</v>
      </c>
      <c r="J297" s="1">
        <f t="shared" si="9"/>
        <v>46065</v>
      </c>
      <c r="K297" t="s">
        <v>20</v>
      </c>
      <c r="L297">
        <v>822.18</v>
      </c>
      <c r="M297">
        <v>960.99</v>
      </c>
      <c r="N297">
        <v>1375.7</v>
      </c>
      <c r="O297">
        <v>0</v>
      </c>
    </row>
    <row r="298" spans="1:15" x14ac:dyDescent="0.3">
      <c r="A298" t="s">
        <v>337</v>
      </c>
      <c r="B298" s="1">
        <v>46060</v>
      </c>
      <c r="C298" t="s">
        <v>50</v>
      </c>
      <c r="D298" t="s">
        <v>45</v>
      </c>
      <c r="E298" t="s">
        <v>18</v>
      </c>
      <c r="F298" t="s">
        <v>19</v>
      </c>
      <c r="G298">
        <v>2440.6</v>
      </c>
      <c r="H298">
        <v>2</v>
      </c>
      <c r="I298" s="1">
        <f t="shared" si="8"/>
        <v>46062</v>
      </c>
      <c r="J298" s="1">
        <f t="shared" si="9"/>
        <v>46062</v>
      </c>
      <c r="K298" t="s">
        <v>20</v>
      </c>
      <c r="L298">
        <v>573.67999999999995</v>
      </c>
      <c r="M298">
        <v>637.04999999999995</v>
      </c>
      <c r="N298">
        <v>854.39</v>
      </c>
      <c r="O298">
        <v>0</v>
      </c>
    </row>
    <row r="299" spans="1:15" x14ac:dyDescent="0.3">
      <c r="A299" t="s">
        <v>338</v>
      </c>
      <c r="B299" s="1">
        <v>46061</v>
      </c>
      <c r="C299" t="s">
        <v>50</v>
      </c>
      <c r="D299" t="s">
        <v>23</v>
      </c>
      <c r="E299" t="s">
        <v>24</v>
      </c>
      <c r="F299" t="s">
        <v>19</v>
      </c>
      <c r="G299">
        <v>3849.7</v>
      </c>
      <c r="H299">
        <v>6</v>
      </c>
      <c r="I299" s="1">
        <f t="shared" si="8"/>
        <v>46067</v>
      </c>
      <c r="J299" s="1">
        <f t="shared" si="9"/>
        <v>46074</v>
      </c>
      <c r="K299" t="s">
        <v>20</v>
      </c>
      <c r="L299">
        <v>660.79</v>
      </c>
      <c r="M299">
        <v>766.72</v>
      </c>
      <c r="N299">
        <v>1087.4000000000001</v>
      </c>
      <c r="O299">
        <v>7</v>
      </c>
    </row>
    <row r="300" spans="1:15" x14ac:dyDescent="0.3">
      <c r="A300" t="s">
        <v>339</v>
      </c>
      <c r="B300" s="1">
        <v>46062</v>
      </c>
      <c r="C300" t="s">
        <v>16</v>
      </c>
      <c r="D300" t="s">
        <v>23</v>
      </c>
      <c r="E300" t="s">
        <v>24</v>
      </c>
      <c r="F300" t="s">
        <v>25</v>
      </c>
      <c r="G300">
        <v>3820.5</v>
      </c>
      <c r="H300">
        <v>6</v>
      </c>
      <c r="I300" s="1">
        <f t="shared" si="8"/>
        <v>46068</v>
      </c>
      <c r="J300" s="1">
        <f t="shared" si="9"/>
        <v>46068</v>
      </c>
      <c r="K300" t="s">
        <v>20</v>
      </c>
      <c r="L300">
        <v>912.59</v>
      </c>
      <c r="M300">
        <v>1055</v>
      </c>
      <c r="N300">
        <v>1490.65</v>
      </c>
      <c r="O300">
        <v>0</v>
      </c>
    </row>
    <row r="301" spans="1:15" x14ac:dyDescent="0.3">
      <c r="A301" t="s">
        <v>340</v>
      </c>
      <c r="B301" s="1">
        <v>46063</v>
      </c>
      <c r="C301" t="s">
        <v>16</v>
      </c>
      <c r="D301" t="s">
        <v>40</v>
      </c>
      <c r="E301" t="s">
        <v>24</v>
      </c>
      <c r="F301" t="s">
        <v>25</v>
      </c>
      <c r="G301">
        <v>2579.8000000000002</v>
      </c>
      <c r="H301">
        <v>12</v>
      </c>
      <c r="I301" s="1">
        <f t="shared" si="8"/>
        <v>46075</v>
      </c>
      <c r="J301" s="1">
        <f t="shared" si="9"/>
        <v>46077</v>
      </c>
      <c r="K301" t="s">
        <v>20</v>
      </c>
      <c r="L301">
        <v>1183.45</v>
      </c>
      <c r="M301">
        <v>1321.86</v>
      </c>
      <c r="N301">
        <v>1852.85</v>
      </c>
      <c r="O301">
        <v>2</v>
      </c>
    </row>
  </sheetData>
  <autoFilter ref="A1:O301" xr:uid="{00000000-0001-0000-0000-000000000000}"/>
  <phoneticPr fontId="2" type="noConversion"/>
  <conditionalFormatting sqref="A2:A301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 activeCell="N20" sqref="N20"/>
    </sheetView>
  </sheetViews>
  <sheetFormatPr defaultRowHeight="14.4" x14ac:dyDescent="0.3"/>
  <cols>
    <col min="1" max="1" width="12" customWidth="1"/>
    <col min="2" max="2" width="24" customWidth="1"/>
  </cols>
  <sheetData>
    <row r="1" spans="1:2" ht="30" customHeight="1" x14ac:dyDescent="0.3">
      <c r="A1" s="2" t="s">
        <v>2</v>
      </c>
      <c r="B1" s="2" t="s">
        <v>341</v>
      </c>
    </row>
    <row r="2" spans="1:2" x14ac:dyDescent="0.3">
      <c r="A2" t="s">
        <v>27</v>
      </c>
      <c r="B2" t="s">
        <v>342</v>
      </c>
    </row>
    <row r="3" spans="1:2" x14ac:dyDescent="0.3">
      <c r="A3" t="s">
        <v>34</v>
      </c>
      <c r="B3" t="s">
        <v>343</v>
      </c>
    </row>
    <row r="4" spans="1:2" x14ac:dyDescent="0.3">
      <c r="A4" t="s">
        <v>50</v>
      </c>
      <c r="B4" t="s">
        <v>344</v>
      </c>
    </row>
    <row r="5" spans="1:2" x14ac:dyDescent="0.3">
      <c r="A5" t="s">
        <v>16</v>
      </c>
      <c r="B5" t="s">
        <v>345</v>
      </c>
    </row>
    <row r="6" spans="1:2" x14ac:dyDescent="0.3">
      <c r="A6" t="s">
        <v>38</v>
      </c>
      <c r="B6" t="s">
        <v>346</v>
      </c>
    </row>
    <row r="7" spans="1:2" x14ac:dyDescent="0.3">
      <c r="A7" t="s">
        <v>22</v>
      </c>
      <c r="B7" t="s">
        <v>347</v>
      </c>
    </row>
    <row r="8" spans="1:2" x14ac:dyDescent="0.3">
      <c r="A8" t="s">
        <v>44</v>
      </c>
      <c r="B8" t="s">
        <v>348</v>
      </c>
    </row>
    <row r="9" spans="1:2" x14ac:dyDescent="0.3">
      <c r="A9" t="s">
        <v>31</v>
      </c>
      <c r="B9" t="s">
        <v>349</v>
      </c>
    </row>
  </sheetData>
  <autoFilter ref="A1:B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1" topLeftCell="A2" activePane="bottomLeft" state="frozen"/>
      <selection pane="bottomLeft" activeCell="O17" sqref="O17"/>
    </sheetView>
  </sheetViews>
  <sheetFormatPr defaultRowHeight="14.4" x14ac:dyDescent="0.3"/>
  <cols>
    <col min="1" max="2" width="12" customWidth="1"/>
    <col min="3" max="3" width="13" customWidth="1"/>
    <col min="4" max="4" width="14" customWidth="1"/>
    <col min="5" max="6" width="20" customWidth="1"/>
  </cols>
  <sheetData>
    <row r="1" spans="1:6" ht="30" customHeight="1" x14ac:dyDescent="0.3">
      <c r="A1" s="2" t="s">
        <v>3</v>
      </c>
      <c r="B1" s="2" t="s">
        <v>350</v>
      </c>
      <c r="C1" s="2" t="s">
        <v>351</v>
      </c>
      <c r="D1" s="2" t="s">
        <v>4</v>
      </c>
      <c r="E1" s="2" t="s">
        <v>7</v>
      </c>
      <c r="F1" s="2" t="s">
        <v>352</v>
      </c>
    </row>
    <row r="2" spans="1:6" x14ac:dyDescent="0.3">
      <c r="A2" t="s">
        <v>40</v>
      </c>
      <c r="B2" t="s">
        <v>353</v>
      </c>
      <c r="C2" t="s">
        <v>354</v>
      </c>
      <c r="D2" t="s">
        <v>24</v>
      </c>
      <c r="E2">
        <v>12</v>
      </c>
      <c r="F2">
        <v>1450</v>
      </c>
    </row>
    <row r="3" spans="1:6" x14ac:dyDescent="0.3">
      <c r="A3" t="s">
        <v>42</v>
      </c>
      <c r="B3" t="s">
        <v>353</v>
      </c>
      <c r="C3" t="s">
        <v>355</v>
      </c>
      <c r="D3" t="s">
        <v>24</v>
      </c>
      <c r="E3">
        <v>10</v>
      </c>
      <c r="F3">
        <v>1320</v>
      </c>
    </row>
    <row r="4" spans="1:6" x14ac:dyDescent="0.3">
      <c r="A4" t="s">
        <v>23</v>
      </c>
      <c r="B4" t="s">
        <v>356</v>
      </c>
      <c r="C4" t="s">
        <v>357</v>
      </c>
      <c r="D4" t="s">
        <v>24</v>
      </c>
      <c r="E4">
        <v>6</v>
      </c>
      <c r="F4">
        <v>780</v>
      </c>
    </row>
    <row r="5" spans="1:6" x14ac:dyDescent="0.3">
      <c r="A5" t="s">
        <v>32</v>
      </c>
      <c r="B5" t="s">
        <v>358</v>
      </c>
      <c r="C5" t="s">
        <v>359</v>
      </c>
      <c r="D5" t="s">
        <v>24</v>
      </c>
      <c r="E5">
        <v>14</v>
      </c>
      <c r="F5">
        <v>1850</v>
      </c>
    </row>
    <row r="6" spans="1:6" x14ac:dyDescent="0.3">
      <c r="A6" t="s">
        <v>45</v>
      </c>
      <c r="B6" t="s">
        <v>360</v>
      </c>
      <c r="C6" t="s">
        <v>354</v>
      </c>
      <c r="D6" t="s">
        <v>18</v>
      </c>
      <c r="E6">
        <v>2</v>
      </c>
      <c r="F6">
        <v>620</v>
      </c>
    </row>
    <row r="7" spans="1:6" x14ac:dyDescent="0.3">
      <c r="A7" t="s">
        <v>64</v>
      </c>
      <c r="B7" t="s">
        <v>353</v>
      </c>
      <c r="C7" t="s">
        <v>361</v>
      </c>
      <c r="D7" t="s">
        <v>18</v>
      </c>
      <c r="E7">
        <v>2</v>
      </c>
      <c r="F7">
        <v>540</v>
      </c>
    </row>
    <row r="8" spans="1:6" x14ac:dyDescent="0.3">
      <c r="A8" t="s">
        <v>17</v>
      </c>
      <c r="B8" t="s">
        <v>356</v>
      </c>
      <c r="C8" t="s">
        <v>355</v>
      </c>
      <c r="D8" t="s">
        <v>18</v>
      </c>
      <c r="E8">
        <v>3</v>
      </c>
      <c r="F8">
        <v>710</v>
      </c>
    </row>
    <row r="9" spans="1:6" x14ac:dyDescent="0.3">
      <c r="A9" t="s">
        <v>52</v>
      </c>
      <c r="B9" t="s">
        <v>358</v>
      </c>
      <c r="C9" t="s">
        <v>362</v>
      </c>
      <c r="D9" t="s">
        <v>18</v>
      </c>
      <c r="E9">
        <v>4</v>
      </c>
      <c r="F9">
        <v>980</v>
      </c>
    </row>
    <row r="10" spans="1:6" x14ac:dyDescent="0.3">
      <c r="A10" t="s">
        <v>28</v>
      </c>
      <c r="B10" t="s">
        <v>353</v>
      </c>
      <c r="C10" t="s">
        <v>360</v>
      </c>
      <c r="D10" t="s">
        <v>29</v>
      </c>
      <c r="E10">
        <v>2</v>
      </c>
      <c r="F10">
        <v>260</v>
      </c>
    </row>
    <row r="11" spans="1:6" x14ac:dyDescent="0.3">
      <c r="A11" t="s">
        <v>69</v>
      </c>
      <c r="B11" t="s">
        <v>356</v>
      </c>
      <c r="C11" t="s">
        <v>363</v>
      </c>
      <c r="D11" t="s">
        <v>29</v>
      </c>
      <c r="E11">
        <v>2</v>
      </c>
      <c r="F11">
        <v>230</v>
      </c>
    </row>
  </sheetData>
  <autoFilter ref="A1:F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1" customWidth="1"/>
    <col min="2" max="2" width="34" customWidth="1"/>
  </cols>
  <sheetData>
    <row r="1" spans="1:2" ht="30" customHeight="1" x14ac:dyDescent="0.3">
      <c r="A1" s="2" t="s">
        <v>364</v>
      </c>
      <c r="B1" s="2" t="s">
        <v>365</v>
      </c>
    </row>
    <row r="2" spans="1:2" x14ac:dyDescent="0.3">
      <c r="A2" t="s">
        <v>366</v>
      </c>
      <c r="B2" t="s">
        <v>367</v>
      </c>
    </row>
    <row r="3" spans="1:2" x14ac:dyDescent="0.3">
      <c r="A3" t="s">
        <v>368</v>
      </c>
      <c r="B3" t="s">
        <v>369</v>
      </c>
    </row>
    <row r="4" spans="1:2" x14ac:dyDescent="0.3">
      <c r="A4" t="s">
        <v>370</v>
      </c>
      <c r="B4" t="s">
        <v>371</v>
      </c>
    </row>
    <row r="5" spans="1:2" x14ac:dyDescent="0.3">
      <c r="A5" t="s">
        <v>372</v>
      </c>
      <c r="B5" t="s">
        <v>373</v>
      </c>
    </row>
    <row r="6" spans="1:2" x14ac:dyDescent="0.3">
      <c r="A6" t="s">
        <v>374</v>
      </c>
      <c r="B6" t="s">
        <v>375</v>
      </c>
    </row>
    <row r="7" spans="1:2" x14ac:dyDescent="0.3">
      <c r="A7" t="s">
        <v>376</v>
      </c>
      <c r="B7" t="s">
        <v>377</v>
      </c>
    </row>
    <row r="8" spans="1:2" x14ac:dyDescent="0.3">
      <c r="A8" t="s">
        <v>378</v>
      </c>
      <c r="B8" t="s">
        <v>379</v>
      </c>
    </row>
    <row r="9" spans="1:2" x14ac:dyDescent="0.3">
      <c r="A9" t="s">
        <v>380</v>
      </c>
      <c r="B9" t="s">
        <v>381</v>
      </c>
    </row>
    <row r="10" spans="1:2" x14ac:dyDescent="0.3">
      <c r="A10" t="s">
        <v>382</v>
      </c>
      <c r="B10" t="s">
        <v>383</v>
      </c>
    </row>
    <row r="11" spans="1:2" x14ac:dyDescent="0.3">
      <c r="A11" t="s">
        <v>384</v>
      </c>
      <c r="B11" t="s">
        <v>385</v>
      </c>
    </row>
    <row r="12" spans="1:2" x14ac:dyDescent="0.3">
      <c r="A12" t="s">
        <v>386</v>
      </c>
      <c r="B12" t="s">
        <v>387</v>
      </c>
    </row>
  </sheetData>
  <autoFilter ref="A1:B1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Shipments</vt:lpstr>
      <vt:lpstr>Customers</vt:lpstr>
      <vt:lpstr>Routes</vt:lpstr>
      <vt:lpstr>Project_Guide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Anirudh K P</cp:lastModifiedBy>
  <dcterms:created xsi:type="dcterms:W3CDTF">2026-10-21T16:35:06Z</dcterms:created>
  <dcterms:modified xsi:type="dcterms:W3CDTF">2026-10-23T07:00:18Z</dcterms:modified>
</cp:coreProperties>
</file>